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raphael.eugenio\Desktop\Raphael\WC26\"/>
    </mc:Choice>
  </mc:AlternateContent>
  <xr:revisionPtr revIDLastSave="0" documentId="13_ncr:1_{B583671C-B35D-4E70-8962-D52F7F1B7228}" xr6:coauthVersionLast="47" xr6:coauthVersionMax="47" xr10:uidLastSave="{00000000-0000-0000-0000-000000000000}"/>
  <bookViews>
    <workbookView xWindow="-120" yWindow="-120" windowWidth="29040" windowHeight="15720" activeTab="1" xr2:uid="{6A3FF02A-77B5-4D2A-AC82-E497ADA6D440}"/>
  </bookViews>
  <sheets>
    <sheet name="Planilha1" sheetId="1" r:id="rId1"/>
    <sheet name="Planilha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3" i="1" l="1" a="1"/>
  <c r="H3" i="1" s="1"/>
  <c r="B3" i="1" a="1"/>
  <c r="AW3" i="1" a="1"/>
  <c r="AW3" i="1" s="1"/>
  <c r="AV3" i="1" a="1"/>
  <c r="AV3" i="1" s="1"/>
  <c r="AU3" i="1" a="1"/>
  <c r="AU3" i="1" s="1"/>
  <c r="AT3" i="1" a="1"/>
  <c r="AT3" i="1" s="1"/>
  <c r="AS3" i="1" a="1"/>
  <c r="AS3" i="1" s="1"/>
  <c r="AR3" i="1" a="1"/>
  <c r="AR3" i="1" s="1"/>
  <c r="AQ3" i="1" a="1"/>
  <c r="AQ3" i="1" s="1"/>
  <c r="AP3" i="1" a="1"/>
  <c r="AP3" i="1" s="1"/>
  <c r="AO3" i="1" a="1"/>
  <c r="AO3" i="1" s="1"/>
  <c r="AN3" i="1" a="1"/>
  <c r="AN3" i="1" s="1"/>
  <c r="AM3" i="1" a="1"/>
  <c r="AM3" i="1" s="1"/>
  <c r="AL3" i="1" a="1"/>
  <c r="AL3" i="1" s="1"/>
  <c r="AK3" i="1" a="1"/>
  <c r="AK3" i="1" s="1"/>
  <c r="AJ3" i="1" a="1"/>
  <c r="AJ3" i="1" s="1"/>
  <c r="AI3" i="1" a="1"/>
  <c r="AI3" i="1" s="1"/>
  <c r="AH3" i="1" a="1"/>
  <c r="AH3" i="1" s="1"/>
  <c r="AG3" i="1" a="1"/>
  <c r="AG3" i="1" s="1"/>
  <c r="AF3" i="1" a="1"/>
  <c r="AF3" i="1" s="1"/>
  <c r="AE3" i="1" a="1"/>
  <c r="AE3" i="1" s="1"/>
  <c r="AD3" i="1" a="1"/>
  <c r="AD3" i="1" s="1"/>
  <c r="AC3" i="1" a="1"/>
  <c r="AC3" i="1" s="1"/>
  <c r="AB3" i="1" a="1"/>
  <c r="AB3" i="1" s="1"/>
  <c r="AA3" i="1" a="1"/>
  <c r="AA3" i="1" s="1"/>
  <c r="Z3" i="1" a="1"/>
  <c r="Z3" i="1" s="1"/>
  <c r="Y3" i="1" a="1"/>
  <c r="Y3" i="1" s="1"/>
  <c r="X3" i="1" a="1"/>
  <c r="X3" i="1" s="1"/>
  <c r="W3" i="1" a="1"/>
  <c r="W3" i="1" s="1"/>
  <c r="V3" i="1" a="1"/>
  <c r="V3" i="1" s="1"/>
  <c r="U3" i="1" a="1"/>
  <c r="U3" i="1" s="1"/>
  <c r="T3" i="1" a="1"/>
  <c r="T3" i="1" s="1"/>
  <c r="S3" i="1" a="1"/>
  <c r="S3" i="1" s="1"/>
  <c r="R3" i="1" a="1"/>
  <c r="R3" i="1" s="1"/>
  <c r="Q3" i="1" a="1"/>
  <c r="Q3" i="1" s="1"/>
  <c r="P3" i="1" a="1"/>
  <c r="P3" i="1" s="1"/>
  <c r="O3" i="1" a="1"/>
  <c r="O3" i="1" s="1"/>
  <c r="N3" i="1" a="1"/>
  <c r="N3" i="1" s="1"/>
  <c r="M3" i="1" a="1"/>
  <c r="M3" i="1" s="1"/>
  <c r="L3" i="1" a="1"/>
  <c r="L3" i="1" s="1"/>
  <c r="K3" i="1" a="1"/>
  <c r="K3" i="1" s="1"/>
  <c r="J3" i="1" a="1"/>
  <c r="J3" i="1" s="1"/>
  <c r="I3" i="1" a="1"/>
  <c r="I3" i="1" s="1"/>
  <c r="G3" i="1" a="1"/>
  <c r="G3" i="1" s="1"/>
  <c r="E3" i="1" a="1"/>
  <c r="E3" i="1" s="1"/>
  <c r="F3" i="1" a="1"/>
  <c r="F3" i="1" s="1"/>
  <c r="B3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<sst xmlns="http://schemas.openxmlformats.org/spreadsheetml/2006/main" count="209" uniqueCount="130">
  <si>
    <t>Assistência esperada (xA)</t>
  </si>
  <si>
    <t>Ataque</t>
  </si>
  <si>
    <t>Cartões amarelos</t>
  </si>
  <si>
    <t>Cartões vermelhos</t>
  </si>
  <si>
    <t>Chances perigosas criadas</t>
  </si>
  <si>
    <t>Chutes bloqueados</t>
  </si>
  <si>
    <t>Chutes dentro da área</t>
  </si>
  <si>
    <t>Chutes fora da área</t>
  </si>
  <si>
    <t>Chutes no gol</t>
  </si>
  <si>
    <t>Chutes para fora</t>
  </si>
  <si>
    <t>Defesas do goleiro</t>
  </si>
  <si>
    <t>Driblado</t>
  </si>
  <si>
    <t>Duelos ganhos</t>
  </si>
  <si>
    <t>Escanteios</t>
  </si>
  <si>
    <t>Faltas</t>
  </si>
  <si>
    <t>Faltas sofridas</t>
  </si>
  <si>
    <t>Gol sofrido devido a erro individual</t>
  </si>
  <si>
    <t>Gols esperados (xG)</t>
  </si>
  <si>
    <t>Gols esperados em chutes no alvo</t>
  </si>
  <si>
    <t>Grandes chances perdidas</t>
  </si>
  <si>
    <t>Impedimentos</t>
  </si>
  <si>
    <t>Interceptações</t>
  </si>
  <si>
    <t>Laterais cobrados</t>
  </si>
  <si>
    <t>Passes completos</t>
  </si>
  <si>
    <t>Passes decisivos</t>
  </si>
  <si>
    <t>Passes no campo adversário</t>
  </si>
  <si>
    <t>Passes no próprio campo</t>
  </si>
  <si>
    <t>Passes no último terço</t>
  </si>
  <si>
    <t>Passes para trás</t>
  </si>
  <si>
    <t>Perigo afastado</t>
  </si>
  <si>
    <t>Posse de Bola</t>
  </si>
  <si>
    <t>Posse de bola perdida</t>
  </si>
  <si>
    <t>Posse recuperada no terço final</t>
  </si>
  <si>
    <t>Tiros de meta</t>
  </si>
  <si>
    <t>Total de chutes</t>
  </si>
  <si>
    <t>Trave</t>
  </si>
  <si>
    <t>xG sofridos (xGC)</t>
  </si>
  <si>
    <t>Alemanha</t>
  </si>
  <si>
    <t>Argentina</t>
  </si>
  <si>
    <t>Argélia</t>
  </si>
  <si>
    <t>Arábia Saudita</t>
  </si>
  <si>
    <t>Austrália</t>
  </si>
  <si>
    <t>Brasil</t>
  </si>
  <si>
    <t>Bélgica</t>
  </si>
  <si>
    <t>Bósnia e Herzegovina</t>
  </si>
  <si>
    <t>Cabo Verde</t>
  </si>
  <si>
    <t>Canadá</t>
  </si>
  <si>
    <t>Catar</t>
  </si>
  <si>
    <t>Colômbia</t>
  </si>
  <si>
    <t>Córeia do Sul</t>
  </si>
  <si>
    <t>Costa do Marfim</t>
  </si>
  <si>
    <t>Croácia</t>
  </si>
  <si>
    <t>Curaçao</t>
  </si>
  <si>
    <t>Egito</t>
  </si>
  <si>
    <t>Equador</t>
  </si>
  <si>
    <t>Escócia</t>
  </si>
  <si>
    <t>Espanha</t>
  </si>
  <si>
    <t>Eua</t>
  </si>
  <si>
    <t>França</t>
  </si>
  <si>
    <t>Gana</t>
  </si>
  <si>
    <t>Haiti</t>
  </si>
  <si>
    <t>Holanda</t>
  </si>
  <si>
    <t>Inglaterra</t>
  </si>
  <si>
    <t>Iraque</t>
  </si>
  <si>
    <t>Irã</t>
  </si>
  <si>
    <t>Japão</t>
  </si>
  <si>
    <t>Jordânia</t>
  </si>
  <si>
    <t>Marrocos</t>
  </si>
  <si>
    <t>México</t>
  </si>
  <si>
    <t>Noruega</t>
  </si>
  <si>
    <t>Panamá</t>
  </si>
  <si>
    <t>Nova Zelândia</t>
  </si>
  <si>
    <t>Paraguai</t>
  </si>
  <si>
    <t>Portugal</t>
  </si>
  <si>
    <t>RD Congo</t>
  </si>
  <si>
    <t>Republica Tcheca</t>
  </si>
  <si>
    <t>Senegal</t>
  </si>
  <si>
    <t>Suécia</t>
  </si>
  <si>
    <t>Suíça</t>
  </si>
  <si>
    <t>Tunísia</t>
  </si>
  <si>
    <t>Turquia</t>
  </si>
  <si>
    <t>Uruguai</t>
  </si>
  <si>
    <t>Uzbequistão</t>
  </si>
  <si>
    <t>Áustria</t>
  </si>
  <si>
    <t>África do Sul</t>
  </si>
  <si>
    <t>Continente</t>
  </si>
  <si>
    <t>Paises</t>
  </si>
  <si>
    <t>CAF</t>
  </si>
  <si>
    <t>UEFA</t>
  </si>
  <si>
    <t>CONMEBOL</t>
  </si>
  <si>
    <t>AFC</t>
  </si>
  <si>
    <t>CONCACAF</t>
  </si>
  <si>
    <t>OFC</t>
  </si>
  <si>
    <t>ataque</t>
  </si>
  <si>
    <t>driblado</t>
  </si>
  <si>
    <t>escanteios</t>
  </si>
  <si>
    <t>faltas</t>
  </si>
  <si>
    <t>impedimentos</t>
  </si>
  <si>
    <t>interceptacoes</t>
  </si>
  <si>
    <t>trave</t>
  </si>
  <si>
    <t>assistencia esperada xa</t>
  </si>
  <si>
    <t>cartoes amarelos</t>
  </si>
  <si>
    <t>cartoes vermelhos</t>
  </si>
  <si>
    <t>chances perigosas criadas</t>
  </si>
  <si>
    <t>chutes bloqueados</t>
  </si>
  <si>
    <t>chutes dentro da area</t>
  </si>
  <si>
    <t>chutes fora da area</t>
  </si>
  <si>
    <t>chutes no gol</t>
  </si>
  <si>
    <t>chutes para fora</t>
  </si>
  <si>
    <t>defesas do goleiro</t>
  </si>
  <si>
    <t>duelos ganhos</t>
  </si>
  <si>
    <t>faltas sofridas</t>
  </si>
  <si>
    <t>gol sofrido devido a erro individual</t>
  </si>
  <si>
    <t>gols esperados xg</t>
  </si>
  <si>
    <t>gols esperados em chutes no alvo</t>
  </si>
  <si>
    <t>grandes chances perdidas</t>
  </si>
  <si>
    <t>laterais cobrados</t>
  </si>
  <si>
    <t>passes completos</t>
  </si>
  <si>
    <t>passes decisivos</t>
  </si>
  <si>
    <t>passes no campo adversario</t>
  </si>
  <si>
    <t>passes no proprio campo</t>
  </si>
  <si>
    <t>passes no ultimo terco</t>
  </si>
  <si>
    <t>passes para tras</t>
  </si>
  <si>
    <t>perigo afastado</t>
  </si>
  <si>
    <t>posse de bola</t>
  </si>
  <si>
    <t>posse de bola perdida</t>
  </si>
  <si>
    <t>posse recuperada no terco final</t>
  </si>
  <si>
    <t>tiros de meta</t>
  </si>
  <si>
    <t>total de chutes</t>
  </si>
  <si>
    <t>xg sofridos xgc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</si>
</sst>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/>
    <xf numFmtId="0" fontId="0" fillId="0" borderId="0" xfId="0" applyAlignment="1">
      <alignment horizontal="center"/>
    </xf>
    <xf numFmtId="0" fontId="0" fillId="0" borderId="0" xfId="0" applyFill="1"/>
    <xf numFmtId="164" fontId="0" fillId="0" borderId="1" xfId="0" applyNumberForma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ownloads/fifa_48_selecoes.xlsx" TargetMode="External"/><Relationship Id="rId2" Type="http://schemas.openxmlformats.org/officeDocument/2006/relationships/externalLinkPath" Target="file:///C:\Users\raphael.eugenio\Downloads\fifa_48_selecoes.xlsx" TargetMode="External"/><Relationship Id="rId1" Type="http://schemas.openxmlformats.org/officeDocument/2006/relationships/externalLinkPath" Target="/Users/raphael.eugenio/Downloads/fifa_48_seleco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emanha.xlsx"/>
      <sheetName val="Argentina.xlsx"/>
      <sheetName val="Argélia.xlsx"/>
      <sheetName val="Arábia Saudita.xlsx"/>
      <sheetName val="Austrália.xlsx"/>
      <sheetName val="Brasil.xlsx"/>
      <sheetName val="Bélgica.xlsx"/>
      <sheetName val="Bósnia e Herzegovina.xlsx"/>
      <sheetName val="Cabo Verde.xlsx"/>
      <sheetName val="Canadá.xlsx"/>
      <sheetName val="Catar.xlsx"/>
      <sheetName val="Colômbia.xlsx"/>
      <sheetName val="Coreia do Sul.xlsx"/>
      <sheetName val="Costa do Marfim.xlsx"/>
      <sheetName val="Croácia.xlsx"/>
      <sheetName val="Curaçao.xlsx"/>
      <sheetName val="Egito.xlsx"/>
      <sheetName val="Equador.xlsx"/>
      <sheetName val="Escócia.xlsx"/>
      <sheetName val="Espanha.xlsx"/>
      <sheetName val="EUA.xlsx"/>
      <sheetName val="França.xlsx"/>
      <sheetName val="Gana.xlsx"/>
      <sheetName val="Haiti.xlsx"/>
      <sheetName val="Holanda.xlsx"/>
      <sheetName val="Inglaterra.xlsx"/>
      <sheetName val="Iraque.xlsx"/>
      <sheetName val="Irã.xlsx"/>
      <sheetName val="Japão.xlsx"/>
      <sheetName val="Jordânia.xlsx"/>
      <sheetName val="Marrocos.xlsx"/>
      <sheetName val="México.xlsx"/>
      <sheetName val="Noruega.xlsx"/>
      <sheetName val="Nova Zelândia.xlsx"/>
      <sheetName val="Panamá.xlsx"/>
      <sheetName val="Paraguai.xlsx"/>
      <sheetName val="Portugal.xlsx"/>
      <sheetName val="RD Congo.xlsx"/>
      <sheetName val="República Tcheca.xlsx"/>
      <sheetName val="Senegal.xlsx"/>
      <sheetName val="Suécia.xlsx"/>
      <sheetName val="Suíça.xlsx"/>
      <sheetName val="Tunísia.xlsx"/>
      <sheetName val="Turquia.xlsx"/>
      <sheetName val="Uruguai.xlsx"/>
      <sheetName val="Uzbequistão.xlsx"/>
      <sheetName val="África do Sul.xlsx"/>
      <sheetName val="Áustria.xlsx"/>
    </sheetNames>
    <sheetDataSet>
      <sheetData sheetId="0"/>
      <sheetData sheetId="1"/>
      <sheetData sheetId="2">
        <row r="2">
          <cell r="B2" t="str">
            <v>Assistência esperada (xA)</v>
          </cell>
          <cell r="M2">
            <v>0.80499999999999983</v>
          </cell>
        </row>
        <row r="3">
          <cell r="B3" t="str">
            <v>Ataque</v>
          </cell>
          <cell r="M3">
            <v>78.5</v>
          </cell>
        </row>
        <row r="4">
          <cell r="B4" t="str">
            <v>Cartões amarelos</v>
          </cell>
          <cell r="M4">
            <v>1.9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2.5</v>
          </cell>
        </row>
        <row r="7">
          <cell r="B7" t="str">
            <v>Chutes bloqueados</v>
          </cell>
          <cell r="M7">
            <v>2.1</v>
          </cell>
        </row>
        <row r="8">
          <cell r="B8" t="str">
            <v>Chutes dentro da área</v>
          </cell>
          <cell r="M8">
            <v>7.833333333333333</v>
          </cell>
        </row>
        <row r="9">
          <cell r="B9" t="str">
            <v>Chutes fora da área</v>
          </cell>
          <cell r="M9">
            <v>2.3333333333333335</v>
          </cell>
        </row>
        <row r="10">
          <cell r="B10" t="str">
            <v>Chutes no gol</v>
          </cell>
          <cell r="M10">
            <v>4.7</v>
          </cell>
        </row>
        <row r="11">
          <cell r="B11" t="str">
            <v>Chutes para fora</v>
          </cell>
          <cell r="M11">
            <v>5.6</v>
          </cell>
        </row>
        <row r="12">
          <cell r="B12" t="str">
            <v>Defesas do goleiro</v>
          </cell>
          <cell r="M12">
            <v>2.1428571428571428</v>
          </cell>
        </row>
        <row r="13">
          <cell r="B13" t="str">
            <v>Driblado</v>
          </cell>
          <cell r="M13">
            <v>10</v>
          </cell>
        </row>
        <row r="14">
          <cell r="B14" t="str">
            <v>Duelos ganhos</v>
          </cell>
          <cell r="M14">
            <v>47</v>
          </cell>
        </row>
        <row r="15">
          <cell r="B15" t="str">
            <v>Escanteios</v>
          </cell>
          <cell r="M15">
            <v>5</v>
          </cell>
        </row>
        <row r="16">
          <cell r="B16" t="str">
            <v>Faltas</v>
          </cell>
          <cell r="M16">
            <v>16.571428571428573</v>
          </cell>
        </row>
        <row r="17">
          <cell r="B17" t="str">
            <v>Faltas sofridas</v>
          </cell>
          <cell r="M17">
            <v>15.666666666666666</v>
          </cell>
        </row>
        <row r="18">
          <cell r="B18" t="str">
            <v>Gols esperados (xG)</v>
          </cell>
          <cell r="M18">
            <v>1.2316666666666667</v>
          </cell>
        </row>
        <row r="19">
          <cell r="B19" t="str">
            <v>Gols esperados em chutes no alvo</v>
          </cell>
          <cell r="M19">
            <v>1.1833333333333333</v>
          </cell>
        </row>
        <row r="20">
          <cell r="B20" t="str">
            <v>Grandes chances perdidas</v>
          </cell>
          <cell r="M20">
            <v>2</v>
          </cell>
        </row>
        <row r="21">
          <cell r="B21" t="str">
            <v>Impedimentos</v>
          </cell>
          <cell r="M21">
            <v>2</v>
          </cell>
        </row>
        <row r="22">
          <cell r="B22" t="str">
            <v>Interceptações</v>
          </cell>
          <cell r="M22">
            <v>11.333333333333334</v>
          </cell>
        </row>
        <row r="23">
          <cell r="B23" t="str">
            <v>Laterais cobrados</v>
          </cell>
          <cell r="M23">
            <v>16.600000000000001</v>
          </cell>
        </row>
        <row r="24">
          <cell r="B24" t="str">
            <v>Passes completos</v>
          </cell>
          <cell r="M24">
            <v>364.66666666666669</v>
          </cell>
        </row>
        <row r="25">
          <cell r="B25" t="str">
            <v>Passes decisivos</v>
          </cell>
          <cell r="M25">
            <v>8.3333333333333339</v>
          </cell>
        </row>
        <row r="26">
          <cell r="B26" t="str">
            <v>Passes no campo adversário</v>
          </cell>
          <cell r="M26">
            <v>204</v>
          </cell>
        </row>
        <row r="27">
          <cell r="B27" t="str">
            <v>Passes no próprio campo</v>
          </cell>
          <cell r="M27">
            <v>239.16666666666666</v>
          </cell>
        </row>
        <row r="28">
          <cell r="B28" t="str">
            <v>Passes no último terço</v>
          </cell>
          <cell r="M28">
            <v>68.166666666666671</v>
          </cell>
        </row>
        <row r="29">
          <cell r="B29" t="str">
            <v>Passes para trás</v>
          </cell>
          <cell r="M29">
            <v>68.833333333333329</v>
          </cell>
        </row>
        <row r="30">
          <cell r="B30" t="str">
            <v>Perigo afastado</v>
          </cell>
          <cell r="M30">
            <v>19.5</v>
          </cell>
        </row>
        <row r="31">
          <cell r="B31" t="str">
            <v>Posse de Bola</v>
          </cell>
          <cell r="M31">
            <v>0.60799999999999998</v>
          </cell>
        </row>
        <row r="32">
          <cell r="B32" t="str">
            <v>Posse de bola perdida</v>
          </cell>
          <cell r="M32">
            <v>109.33333333333333</v>
          </cell>
        </row>
        <row r="33">
          <cell r="B33" t="str">
            <v>Posse recuperada no terço final</v>
          </cell>
          <cell r="M33">
            <v>3.5</v>
          </cell>
        </row>
        <row r="34">
          <cell r="B34" t="str">
            <v>Tiros de meta</v>
          </cell>
          <cell r="M34">
            <v>5.9</v>
          </cell>
        </row>
        <row r="35">
          <cell r="B35" t="str">
            <v>Total de chutes</v>
          </cell>
          <cell r="M35">
            <v>11.9</v>
          </cell>
        </row>
        <row r="36">
          <cell r="B36" t="str">
            <v>Trave</v>
          </cell>
          <cell r="M36">
            <v>0.22222222222222221</v>
          </cell>
        </row>
        <row r="37">
          <cell r="B37" t="str">
            <v>xG sofridos (xGC)</v>
          </cell>
          <cell r="M37">
            <v>1.0533333333333332</v>
          </cell>
        </row>
      </sheetData>
      <sheetData sheetId="3">
        <row r="2">
          <cell r="B2" t="str">
            <v>Ataque</v>
          </cell>
          <cell r="J2">
            <v>81.857142857142861</v>
          </cell>
        </row>
        <row r="3">
          <cell r="B3" t="str">
            <v>Cartões amarelos</v>
          </cell>
          <cell r="J3">
            <v>1</v>
          </cell>
        </row>
        <row r="4">
          <cell r="B4" t="str">
            <v>Cartões vermelhos</v>
          </cell>
          <cell r="J4">
            <v>0.14285714285714285</v>
          </cell>
        </row>
        <row r="5">
          <cell r="B5" t="str">
            <v>Chances perigosas criadas</v>
          </cell>
          <cell r="J5">
            <v>1</v>
          </cell>
        </row>
        <row r="6">
          <cell r="B6" t="str">
            <v>Chutes bloqueados</v>
          </cell>
          <cell r="J6">
            <v>2.8571428571428572</v>
          </cell>
        </row>
        <row r="7">
          <cell r="B7" t="str">
            <v>Chutes dentro da área</v>
          </cell>
          <cell r="J7">
            <v>8</v>
          </cell>
        </row>
        <row r="8">
          <cell r="B8" t="str">
            <v>Chutes fora da área</v>
          </cell>
          <cell r="J8">
            <v>7</v>
          </cell>
        </row>
        <row r="9">
          <cell r="B9" t="str">
            <v>Chutes no gol</v>
          </cell>
          <cell r="J9">
            <v>2.7142857142857144</v>
          </cell>
        </row>
        <row r="10">
          <cell r="B10" t="str">
            <v>Chutes para fora</v>
          </cell>
          <cell r="J10">
            <v>4.5714285714285712</v>
          </cell>
        </row>
        <row r="11">
          <cell r="B11" t="str">
            <v>Defesas do goleiro</v>
          </cell>
          <cell r="J11">
            <v>1</v>
          </cell>
        </row>
        <row r="12">
          <cell r="B12" t="str">
            <v>Driblado</v>
          </cell>
          <cell r="J12">
            <v>6.5</v>
          </cell>
        </row>
        <row r="13">
          <cell r="B13" t="str">
            <v>Duelos ganhos</v>
          </cell>
          <cell r="J13">
            <v>74</v>
          </cell>
        </row>
        <row r="14">
          <cell r="B14" t="str">
            <v>Escanteios</v>
          </cell>
          <cell r="J14">
            <v>5.2857142857142856</v>
          </cell>
        </row>
        <row r="15">
          <cell r="B15" t="str">
            <v>Faltas</v>
          </cell>
          <cell r="J15">
            <v>9</v>
          </cell>
        </row>
        <row r="16">
          <cell r="B16" t="str">
            <v>Faltas sofridas</v>
          </cell>
          <cell r="J16">
            <v>16</v>
          </cell>
        </row>
        <row r="17">
          <cell r="B17" t="str">
            <v>Impedimentos</v>
          </cell>
          <cell r="J17">
            <v>1.5714285714285714</v>
          </cell>
        </row>
        <row r="18">
          <cell r="B18" t="str">
            <v>Interceptações</v>
          </cell>
          <cell r="J18">
            <v>6</v>
          </cell>
        </row>
        <row r="19">
          <cell r="B19" t="str">
            <v>Laterais cobrados</v>
          </cell>
          <cell r="J19">
            <v>23.142857142857142</v>
          </cell>
        </row>
        <row r="20">
          <cell r="B20" t="str">
            <v>Passes completos</v>
          </cell>
          <cell r="J20">
            <v>485</v>
          </cell>
        </row>
        <row r="21">
          <cell r="B21" t="str">
            <v>Passes decisivos</v>
          </cell>
          <cell r="J21">
            <v>9</v>
          </cell>
        </row>
        <row r="22">
          <cell r="B22" t="str">
            <v>Passes no campo adversário</v>
          </cell>
          <cell r="J22">
            <v>344</v>
          </cell>
        </row>
        <row r="23">
          <cell r="B23" t="str">
            <v>Passes no próprio campo</v>
          </cell>
          <cell r="J23">
            <v>261</v>
          </cell>
        </row>
        <row r="24">
          <cell r="B24" t="str">
            <v>Passes no último terço</v>
          </cell>
          <cell r="J24">
            <v>120</v>
          </cell>
        </row>
        <row r="25">
          <cell r="B25" t="str">
            <v>Passes para trás</v>
          </cell>
          <cell r="J25">
            <v>71</v>
          </cell>
        </row>
        <row r="26">
          <cell r="B26" t="str">
            <v>Perigo afastado</v>
          </cell>
          <cell r="J26">
            <v>38</v>
          </cell>
        </row>
        <row r="27">
          <cell r="B27" t="str">
            <v>Posse de Bola</v>
          </cell>
          <cell r="J27">
            <v>0.61428571428571443</v>
          </cell>
        </row>
        <row r="28">
          <cell r="B28" t="str">
            <v>Posse de bola perdida</v>
          </cell>
          <cell r="J28">
            <v>189</v>
          </cell>
        </row>
        <row r="29">
          <cell r="B29" t="str">
            <v>Posse recuperada no terço final</v>
          </cell>
          <cell r="J29">
            <v>3</v>
          </cell>
        </row>
        <row r="30">
          <cell r="B30" t="str">
            <v>Tiros de meta</v>
          </cell>
          <cell r="J30">
            <v>5.5714285714285712</v>
          </cell>
        </row>
        <row r="31">
          <cell r="B31" t="str">
            <v>Total de chutes</v>
          </cell>
          <cell r="J31">
            <v>10.142857142857142</v>
          </cell>
        </row>
        <row r="32">
          <cell r="B32" t="str">
            <v>Trave</v>
          </cell>
          <cell r="J32">
            <v>0.5714285714285714</v>
          </cell>
        </row>
      </sheetData>
      <sheetData sheetId="4">
        <row r="2">
          <cell r="B2" t="str">
            <v>Assistência esperada (xA)</v>
          </cell>
          <cell r="M2">
            <v>0.51</v>
          </cell>
        </row>
        <row r="3">
          <cell r="B3" t="str">
            <v>Ataque</v>
          </cell>
          <cell r="M3">
            <v>52.8</v>
          </cell>
        </row>
        <row r="4">
          <cell r="B4" t="str">
            <v>Cartões amarelos</v>
          </cell>
          <cell r="M4">
            <v>1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1.125</v>
          </cell>
        </row>
        <row r="7">
          <cell r="B7" t="str">
            <v>Chutes bloqueados</v>
          </cell>
          <cell r="M7">
            <v>1.1000000000000001</v>
          </cell>
        </row>
        <row r="8">
          <cell r="B8" t="str">
            <v>Chutes dentro da área</v>
          </cell>
          <cell r="M8">
            <v>4.5</v>
          </cell>
        </row>
        <row r="9">
          <cell r="B9" t="str">
            <v>Chutes fora da área</v>
          </cell>
          <cell r="M9">
            <v>2.125</v>
          </cell>
        </row>
        <row r="10">
          <cell r="B10" t="str">
            <v>Chutes no gol</v>
          </cell>
          <cell r="M10">
            <v>3.4</v>
          </cell>
        </row>
        <row r="11">
          <cell r="B11" t="str">
            <v>Chutes para fora</v>
          </cell>
          <cell r="M11">
            <v>2.7</v>
          </cell>
        </row>
        <row r="12">
          <cell r="B12" t="str">
            <v>Defesas do goleiro</v>
          </cell>
          <cell r="M12">
            <v>4</v>
          </cell>
        </row>
        <row r="13">
          <cell r="B13" t="str">
            <v>Driblado</v>
          </cell>
          <cell r="M13">
            <v>8.875</v>
          </cell>
        </row>
        <row r="14">
          <cell r="B14" t="str">
            <v>Duelos ganhos</v>
          </cell>
          <cell r="M14">
            <v>43.875</v>
          </cell>
        </row>
        <row r="15">
          <cell r="B15" t="str">
            <v>Escanteios</v>
          </cell>
          <cell r="M15">
            <v>1.8</v>
          </cell>
        </row>
        <row r="16">
          <cell r="B16" t="str">
            <v>Faltas</v>
          </cell>
          <cell r="M16">
            <v>10.625</v>
          </cell>
        </row>
        <row r="17">
          <cell r="B17" t="str">
            <v>Faltas sofridas</v>
          </cell>
          <cell r="M17">
            <v>11.875</v>
          </cell>
        </row>
        <row r="18">
          <cell r="B18" t="str">
            <v>Gol sofrido devido a erro individual</v>
          </cell>
          <cell r="M18">
            <v>0.5</v>
          </cell>
        </row>
        <row r="19">
          <cell r="B19" t="str">
            <v>Gols esperados (xG)</v>
          </cell>
          <cell r="M19">
            <v>0.56499999999999995</v>
          </cell>
        </row>
        <row r="20">
          <cell r="B20" t="str">
            <v>Gols esperados em chutes no alvo</v>
          </cell>
          <cell r="M20">
            <v>0.69124999999999992</v>
          </cell>
        </row>
        <row r="21">
          <cell r="B21" t="str">
            <v>Grandes chances perdidas</v>
          </cell>
          <cell r="M21">
            <v>0.66666666666666663</v>
          </cell>
        </row>
        <row r="22">
          <cell r="B22" t="str">
            <v>Impedimentos</v>
          </cell>
          <cell r="M22">
            <v>1.3</v>
          </cell>
        </row>
        <row r="23">
          <cell r="B23" t="str">
            <v>Interceptações</v>
          </cell>
          <cell r="M23">
            <v>8.875</v>
          </cell>
        </row>
        <row r="24">
          <cell r="B24" t="str">
            <v>Laterais cobrados</v>
          </cell>
          <cell r="M24">
            <v>17.5</v>
          </cell>
        </row>
        <row r="25">
          <cell r="B25" t="str">
            <v>Passes completos</v>
          </cell>
          <cell r="M25">
            <v>282.25</v>
          </cell>
        </row>
        <row r="26">
          <cell r="B26" t="str">
            <v>Passes decisivos</v>
          </cell>
          <cell r="M26">
            <v>4.625</v>
          </cell>
        </row>
        <row r="27">
          <cell r="B27" t="str">
            <v>Passes no campo adversário</v>
          </cell>
          <cell r="M27">
            <v>143.375</v>
          </cell>
        </row>
        <row r="28">
          <cell r="B28" t="str">
            <v>Passes no próprio campo</v>
          </cell>
          <cell r="M28">
            <v>214.625</v>
          </cell>
        </row>
        <row r="29">
          <cell r="B29" t="str">
            <v>Passes no último terço</v>
          </cell>
          <cell r="M29">
            <v>37.125</v>
          </cell>
        </row>
        <row r="30">
          <cell r="B30" t="str">
            <v>Passes para trás</v>
          </cell>
          <cell r="M30">
            <v>52.25</v>
          </cell>
        </row>
        <row r="31">
          <cell r="B31" t="str">
            <v>Perigo afastado</v>
          </cell>
          <cell r="M31">
            <v>24.875</v>
          </cell>
        </row>
        <row r="32">
          <cell r="B32" t="str">
            <v>Posse de Bola</v>
          </cell>
          <cell r="M32">
            <v>0.39899999999999997</v>
          </cell>
        </row>
        <row r="33">
          <cell r="B33" t="str">
            <v>Posse de bola perdida</v>
          </cell>
          <cell r="M33">
            <v>110.75</v>
          </cell>
        </row>
        <row r="34">
          <cell r="B34" t="str">
            <v>Posse recuperada no terço final</v>
          </cell>
          <cell r="M34">
            <v>1.75</v>
          </cell>
        </row>
        <row r="35">
          <cell r="B35" t="str">
            <v>Tiros de meta</v>
          </cell>
          <cell r="M35">
            <v>7.1</v>
          </cell>
        </row>
        <row r="36">
          <cell r="B36" t="str">
            <v>Total de chutes</v>
          </cell>
          <cell r="M36">
            <v>7.2</v>
          </cell>
        </row>
        <row r="37">
          <cell r="B37" t="str">
            <v>Trave</v>
          </cell>
          <cell r="M37">
            <v>0.44444444444444442</v>
          </cell>
        </row>
        <row r="38">
          <cell r="B38" t="str">
            <v>xG sofridos (xGC)</v>
          </cell>
          <cell r="M38">
            <v>1.34</v>
          </cell>
        </row>
      </sheetData>
      <sheetData sheetId="5">
        <row r="2">
          <cell r="B2" t="str">
            <v>Assistência esperada (xA)</v>
          </cell>
          <cell r="M2">
            <v>1.133</v>
          </cell>
        </row>
        <row r="3">
          <cell r="B3" t="str">
            <v>Ataque</v>
          </cell>
          <cell r="M3">
            <v>66.900000000000006</v>
          </cell>
        </row>
        <row r="4">
          <cell r="B4" t="str">
            <v>Cartões amarelos</v>
          </cell>
          <cell r="M4">
            <v>1.4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2.5</v>
          </cell>
        </row>
        <row r="7">
          <cell r="B7" t="str">
            <v>Chutes bloqueados</v>
          </cell>
          <cell r="M7">
            <v>4.3</v>
          </cell>
        </row>
        <row r="8">
          <cell r="B8" t="str">
            <v>Chutes dentro da área</v>
          </cell>
          <cell r="M8">
            <v>8.6</v>
          </cell>
        </row>
        <row r="9">
          <cell r="B9" t="str">
            <v>Chutes fora da área</v>
          </cell>
          <cell r="M9">
            <v>4.8</v>
          </cell>
        </row>
        <row r="10">
          <cell r="B10" t="str">
            <v>Chutes no gol</v>
          </cell>
          <cell r="M10">
            <v>4.7</v>
          </cell>
        </row>
        <row r="11">
          <cell r="B11" t="str">
            <v>Chutes para fora</v>
          </cell>
          <cell r="M11">
            <v>4.4000000000000004</v>
          </cell>
        </row>
        <row r="12">
          <cell r="B12" t="str">
            <v>Defesas do goleiro</v>
          </cell>
          <cell r="M12">
            <v>2.2000000000000002</v>
          </cell>
        </row>
        <row r="13">
          <cell r="B13" t="str">
            <v>Driblado</v>
          </cell>
          <cell r="M13">
            <v>9.1</v>
          </cell>
        </row>
        <row r="14">
          <cell r="B14" t="str">
            <v>Duelos ganhos</v>
          </cell>
          <cell r="M14">
            <v>47.6</v>
          </cell>
        </row>
        <row r="15">
          <cell r="B15" t="str">
            <v>Escanteios</v>
          </cell>
          <cell r="M15">
            <v>4.8</v>
          </cell>
        </row>
        <row r="16">
          <cell r="B16" t="str">
            <v>Faltas</v>
          </cell>
          <cell r="M16">
            <v>11</v>
          </cell>
        </row>
        <row r="17">
          <cell r="B17" t="str">
            <v>Faltas sofridas</v>
          </cell>
          <cell r="M17">
            <v>13.2</v>
          </cell>
        </row>
        <row r="18">
          <cell r="B18" t="str">
            <v>Gol sofrido devido a erro individual</v>
          </cell>
          <cell r="M18">
            <v>0.5</v>
          </cell>
        </row>
        <row r="19">
          <cell r="B19" t="str">
            <v>Gols esperados (xG)</v>
          </cell>
          <cell r="M19">
            <v>1.8549999999999998</v>
          </cell>
        </row>
        <row r="20">
          <cell r="B20" t="str">
            <v>Gols esperados em chutes no alvo</v>
          </cell>
          <cell r="M20">
            <v>1.7789999999999999</v>
          </cell>
        </row>
        <row r="21">
          <cell r="B21" t="str">
            <v>Grandes chances perdidas</v>
          </cell>
          <cell r="M21">
            <v>1.375</v>
          </cell>
        </row>
        <row r="22">
          <cell r="B22" t="str">
            <v>Impedimentos</v>
          </cell>
          <cell r="M22">
            <v>1.3</v>
          </cell>
        </row>
        <row r="23">
          <cell r="B23" t="str">
            <v>Interceptações</v>
          </cell>
          <cell r="M23">
            <v>7.1</v>
          </cell>
        </row>
        <row r="24">
          <cell r="B24" t="str">
            <v>Laterais cobrados</v>
          </cell>
          <cell r="M24">
            <v>16.600000000000001</v>
          </cell>
        </row>
        <row r="25">
          <cell r="B25" t="str">
            <v>Passes completos</v>
          </cell>
          <cell r="M25">
            <v>459.3</v>
          </cell>
        </row>
        <row r="26">
          <cell r="B26" t="str">
            <v>Passes decisivos</v>
          </cell>
          <cell r="M26">
            <v>10.4</v>
          </cell>
        </row>
        <row r="27">
          <cell r="B27" t="str">
            <v>Passes no campo adversário</v>
          </cell>
          <cell r="M27">
            <v>282.8</v>
          </cell>
        </row>
        <row r="28">
          <cell r="B28" t="str">
            <v>Passes no próprio campo</v>
          </cell>
          <cell r="M28">
            <v>250.9</v>
          </cell>
        </row>
        <row r="29">
          <cell r="B29" t="str">
            <v>Passes no último terço</v>
          </cell>
          <cell r="M29">
            <v>97.4</v>
          </cell>
        </row>
        <row r="30">
          <cell r="B30" t="str">
            <v>Passes para trás</v>
          </cell>
          <cell r="M30">
            <v>69.400000000000006</v>
          </cell>
        </row>
        <row r="31">
          <cell r="B31" t="str">
            <v>Perigo afastado</v>
          </cell>
          <cell r="M31">
            <v>17.899999999999999</v>
          </cell>
        </row>
        <row r="32">
          <cell r="B32" t="str">
            <v>Posse de Bola</v>
          </cell>
          <cell r="M32">
            <v>0.58100000000000007</v>
          </cell>
        </row>
        <row r="33">
          <cell r="B33" t="str">
            <v>Posse de bola perdida</v>
          </cell>
          <cell r="M33">
            <v>102.9</v>
          </cell>
        </row>
        <row r="34">
          <cell r="B34" t="str">
            <v>Posse recuperada no terço final</v>
          </cell>
          <cell r="M34">
            <v>4.5999999999999996</v>
          </cell>
        </row>
        <row r="35">
          <cell r="B35" t="str">
            <v>Tiros de meta</v>
          </cell>
          <cell r="M35">
            <v>5.3</v>
          </cell>
        </row>
        <row r="36">
          <cell r="B36" t="str">
            <v>Total de chutes</v>
          </cell>
          <cell r="M36">
            <v>13.4</v>
          </cell>
        </row>
        <row r="37">
          <cell r="B37" t="str">
            <v>Trave</v>
          </cell>
          <cell r="M37">
            <v>0.4</v>
          </cell>
        </row>
        <row r="38">
          <cell r="B38" t="str">
            <v>xG sofridos (xGC)</v>
          </cell>
          <cell r="M38">
            <v>0.88100000000000023</v>
          </cell>
        </row>
      </sheetData>
      <sheetData sheetId="6">
        <row r="2">
          <cell r="B2" t="str">
            <v>Assistência esperada (xA)</v>
          </cell>
          <cell r="M2">
            <v>2.0069999999999997</v>
          </cell>
        </row>
        <row r="3">
          <cell r="B3" t="str">
            <v>Ataque</v>
          </cell>
          <cell r="M3">
            <v>102.6</v>
          </cell>
        </row>
        <row r="4">
          <cell r="B4" t="str">
            <v>Cartões amarelos</v>
          </cell>
          <cell r="M4">
            <v>1.2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3.6</v>
          </cell>
        </row>
        <row r="7">
          <cell r="B7" t="str">
            <v>Chutes bloqueados</v>
          </cell>
          <cell r="M7">
            <v>6.4</v>
          </cell>
        </row>
        <row r="8">
          <cell r="B8" t="str">
            <v>Chutes dentro da área</v>
          </cell>
          <cell r="M8">
            <v>14.4</v>
          </cell>
        </row>
        <row r="9">
          <cell r="B9" t="str">
            <v>Chutes fora da área</v>
          </cell>
          <cell r="M9">
            <v>6</v>
          </cell>
        </row>
        <row r="10">
          <cell r="B10" t="str">
            <v>Chutes no gol</v>
          </cell>
          <cell r="M10">
            <v>7.6</v>
          </cell>
        </row>
        <row r="11">
          <cell r="B11" t="str">
            <v>Chutes para fora</v>
          </cell>
          <cell r="M11">
            <v>6.4</v>
          </cell>
        </row>
        <row r="12">
          <cell r="B12" t="str">
            <v>Defesas do goleiro</v>
          </cell>
          <cell r="M12">
            <v>1.7</v>
          </cell>
        </row>
        <row r="13">
          <cell r="B13" t="str">
            <v>Driblado</v>
          </cell>
          <cell r="M13">
            <v>9.3000000000000007</v>
          </cell>
        </row>
        <row r="14">
          <cell r="B14" t="str">
            <v>Duelos ganhos</v>
          </cell>
          <cell r="M14">
            <v>45.2</v>
          </cell>
        </row>
        <row r="15">
          <cell r="B15" t="str">
            <v>Escanteios</v>
          </cell>
          <cell r="M15">
            <v>9.1</v>
          </cell>
        </row>
        <row r="16">
          <cell r="B16" t="str">
            <v>Faltas</v>
          </cell>
          <cell r="M16">
            <v>10.7</v>
          </cell>
        </row>
        <row r="17">
          <cell r="B17" t="str">
            <v>Faltas sofridas</v>
          </cell>
          <cell r="M17">
            <v>10.199999999999999</v>
          </cell>
        </row>
        <row r="18">
          <cell r="B18" t="str">
            <v>Gol sofrido devido a erro individual</v>
          </cell>
          <cell r="M18">
            <v>0.6</v>
          </cell>
        </row>
        <row r="19">
          <cell r="B19" t="str">
            <v>Gols esperados (xG)</v>
          </cell>
          <cell r="M19">
            <v>2.6339999999999999</v>
          </cell>
        </row>
        <row r="20">
          <cell r="B20" t="str">
            <v>Gols esperados em chutes no alvo</v>
          </cell>
          <cell r="M20">
            <v>2.6680000000000001</v>
          </cell>
        </row>
        <row r="21">
          <cell r="B21" t="str">
            <v>Grandes chances perdidas</v>
          </cell>
          <cell r="M21">
            <v>2.2857142857142856</v>
          </cell>
        </row>
        <row r="22">
          <cell r="B22" t="str">
            <v>Impedimentos</v>
          </cell>
          <cell r="M22">
            <v>1.3</v>
          </cell>
        </row>
        <row r="23">
          <cell r="B23" t="str">
            <v>Interceptações</v>
          </cell>
          <cell r="M23">
            <v>5.8</v>
          </cell>
        </row>
        <row r="24">
          <cell r="B24" t="str">
            <v>Laterais cobrados</v>
          </cell>
          <cell r="M24">
            <v>19.3</v>
          </cell>
        </row>
        <row r="25">
          <cell r="B25" t="str">
            <v>Passes completos</v>
          </cell>
          <cell r="M25">
            <v>498.6</v>
          </cell>
        </row>
        <row r="26">
          <cell r="B26" t="str">
            <v>Passes decisivos</v>
          </cell>
          <cell r="M26">
            <v>15.2</v>
          </cell>
        </row>
        <row r="27">
          <cell r="B27" t="str">
            <v>Passes no campo adversário</v>
          </cell>
          <cell r="M27">
            <v>391.7</v>
          </cell>
        </row>
        <row r="28">
          <cell r="B28" t="str">
            <v>Passes no próprio campo</v>
          </cell>
          <cell r="M28">
            <v>197.5</v>
          </cell>
        </row>
        <row r="29">
          <cell r="B29" t="str">
            <v>Passes no último terço</v>
          </cell>
          <cell r="M29">
            <v>182.1</v>
          </cell>
        </row>
        <row r="30">
          <cell r="B30" t="str">
            <v>Passes para trás</v>
          </cell>
          <cell r="M30">
            <v>91.6</v>
          </cell>
        </row>
        <row r="31">
          <cell r="B31" t="str">
            <v>Perigo afastado</v>
          </cell>
          <cell r="M31">
            <v>14.6</v>
          </cell>
        </row>
        <row r="32">
          <cell r="B32" t="str">
            <v>Posse de Bola</v>
          </cell>
          <cell r="M32">
            <v>0.64500000000000002</v>
          </cell>
        </row>
        <row r="33">
          <cell r="B33" t="str">
            <v>Posse de bola perdida</v>
          </cell>
          <cell r="M33">
            <v>120</v>
          </cell>
        </row>
        <row r="34">
          <cell r="B34" t="str">
            <v>Posse recuperada no terço final</v>
          </cell>
          <cell r="M34">
            <v>6</v>
          </cell>
        </row>
        <row r="35">
          <cell r="B35" t="str">
            <v>Tiros de meta</v>
          </cell>
          <cell r="M35">
            <v>4.5</v>
          </cell>
        </row>
        <row r="36">
          <cell r="B36" t="str">
            <v>Total de chutes</v>
          </cell>
          <cell r="M36">
            <v>20.399999999999999</v>
          </cell>
        </row>
        <row r="37">
          <cell r="B37" t="str">
            <v>Trave</v>
          </cell>
          <cell r="M37">
            <v>0.4</v>
          </cell>
        </row>
        <row r="38">
          <cell r="B38" t="str">
            <v>xG sofridos (xGC)</v>
          </cell>
          <cell r="M38">
            <v>0.73799999999999999</v>
          </cell>
        </row>
      </sheetData>
      <sheetData sheetId="7">
        <row r="2">
          <cell r="B2" t="str">
            <v>Assistência esperada (xA)</v>
          </cell>
          <cell r="L2" t="str">
            <v>2.2</v>
          </cell>
        </row>
        <row r="3">
          <cell r="B3" t="str">
            <v>Ataque</v>
          </cell>
          <cell r="L3" t="str">
            <v>12</v>
          </cell>
        </row>
        <row r="4">
          <cell r="B4" t="str">
            <v>Cartões amarelos</v>
          </cell>
          <cell r="L4" t="str">
            <v>1</v>
          </cell>
        </row>
        <row r="5">
          <cell r="B5" t="str">
            <v>Cartões vermelhos</v>
          </cell>
          <cell r="L5" t="str">
            <v>0</v>
          </cell>
        </row>
        <row r="6">
          <cell r="B6" t="str">
            <v>Chances perigosas criadas</v>
          </cell>
          <cell r="L6" t="str">
            <v>3</v>
          </cell>
        </row>
        <row r="7">
          <cell r="B7" t="str">
            <v>Chutes bloqueados</v>
          </cell>
          <cell r="L7" t="str">
            <v>6</v>
          </cell>
        </row>
        <row r="8">
          <cell r="B8" t="str">
            <v>Chutes dentro da área</v>
          </cell>
          <cell r="L8" t="str">
            <v>15</v>
          </cell>
        </row>
        <row r="9">
          <cell r="B9" t="str">
            <v>Chutes fora da área</v>
          </cell>
          <cell r="L9" t="str">
            <v>6</v>
          </cell>
        </row>
        <row r="10">
          <cell r="B10" t="str">
            <v>Chutes no gol</v>
          </cell>
          <cell r="L10" t="str">
            <v>6</v>
          </cell>
        </row>
        <row r="11">
          <cell r="B11" t="str">
            <v>Chutes para fora</v>
          </cell>
          <cell r="L11" t="str">
            <v>9</v>
          </cell>
        </row>
        <row r="12">
          <cell r="B12" t="str">
            <v>Defesas do goleiro</v>
          </cell>
          <cell r="L12" t="str">
            <v>0</v>
          </cell>
        </row>
        <row r="13">
          <cell r="B13" t="str">
            <v>Driblado</v>
          </cell>
          <cell r="L13" t="str">
            <v>7</v>
          </cell>
        </row>
        <row r="14">
          <cell r="B14" t="str">
            <v>Duelos ganhos</v>
          </cell>
          <cell r="L14" t="str">
            <v>50</v>
          </cell>
        </row>
        <row r="15">
          <cell r="B15" t="str">
            <v>Escanteios</v>
          </cell>
          <cell r="L15" t="str">
            <v>5</v>
          </cell>
        </row>
        <row r="16">
          <cell r="B16" t="str">
            <v>Faltas</v>
          </cell>
          <cell r="L16" t="str">
            <v>21</v>
          </cell>
        </row>
        <row r="17">
          <cell r="B17" t="str">
            <v>Faltas sofridas</v>
          </cell>
          <cell r="L17" t="str">
            <v>11</v>
          </cell>
        </row>
        <row r="18">
          <cell r="B18" t="str">
            <v>Gol sofrido devido a erro individual</v>
          </cell>
        </row>
        <row r="19">
          <cell r="B19" t="str">
            <v>Gols esperados (xG)</v>
          </cell>
          <cell r="L19" t="str">
            <v>2.7</v>
          </cell>
        </row>
        <row r="20">
          <cell r="B20" t="str">
            <v>Gols esperados em chutes no alvo</v>
          </cell>
          <cell r="L20" t="str">
            <v>1.1</v>
          </cell>
        </row>
        <row r="21">
          <cell r="B21" t="str">
            <v>Grandes chances perdidas</v>
          </cell>
          <cell r="L21" t="str">
            <v>2</v>
          </cell>
        </row>
        <row r="22">
          <cell r="B22" t="str">
            <v>Impedimentos</v>
          </cell>
          <cell r="L22" t="str">
            <v>0</v>
          </cell>
        </row>
        <row r="23">
          <cell r="B23" t="str">
            <v>Interceptações</v>
          </cell>
          <cell r="L23" t="str">
            <v>9</v>
          </cell>
        </row>
        <row r="24">
          <cell r="B24" t="str">
            <v>Laterais cobrados</v>
          </cell>
          <cell r="L24" t="str">
            <v>29</v>
          </cell>
        </row>
        <row r="25">
          <cell r="B25" t="str">
            <v>Passes completos</v>
          </cell>
          <cell r="L25" t="str">
            <v>447</v>
          </cell>
        </row>
        <row r="26">
          <cell r="B26" t="str">
            <v>Passes decisivos</v>
          </cell>
          <cell r="L26" t="str">
            <v>16</v>
          </cell>
        </row>
        <row r="27">
          <cell r="B27" t="str">
            <v>Passes no campo adversário</v>
          </cell>
          <cell r="L27" t="str">
            <v>343</v>
          </cell>
        </row>
        <row r="28">
          <cell r="B28" t="str">
            <v>Passes no próprio campo</v>
          </cell>
          <cell r="L28" t="str">
            <v>210</v>
          </cell>
        </row>
        <row r="29">
          <cell r="B29" t="str">
            <v>Passes no último terço</v>
          </cell>
          <cell r="L29" t="str">
            <v>126</v>
          </cell>
        </row>
        <row r="30">
          <cell r="B30" t="str">
            <v>Passes para trás</v>
          </cell>
          <cell r="L30" t="str">
            <v>82</v>
          </cell>
        </row>
        <row r="31">
          <cell r="B31" t="str">
            <v>Perigo afastado</v>
          </cell>
          <cell r="L31" t="str">
            <v>13</v>
          </cell>
        </row>
        <row r="32">
          <cell r="B32" t="str">
            <v>Posse de Bola</v>
          </cell>
          <cell r="L32" t="str">
            <v>67%</v>
          </cell>
        </row>
        <row r="33">
          <cell r="B33" t="str">
            <v>Posse de bola perdida</v>
          </cell>
          <cell r="L33" t="str">
            <v>130</v>
          </cell>
        </row>
        <row r="34">
          <cell r="B34" t="str">
            <v>Posse recuperada no terço final</v>
          </cell>
          <cell r="L34" t="str">
            <v>4</v>
          </cell>
        </row>
        <row r="35">
          <cell r="B35" t="str">
            <v>Tiros de meta</v>
          </cell>
          <cell r="L35" t="str">
            <v>5</v>
          </cell>
        </row>
        <row r="36">
          <cell r="B36" t="str">
            <v>Total de chutes</v>
          </cell>
          <cell r="L36" t="str">
            <v>21</v>
          </cell>
        </row>
        <row r="37">
          <cell r="B37" t="str">
            <v>Trave</v>
          </cell>
          <cell r="L37" t="str">
            <v>0</v>
          </cell>
        </row>
        <row r="38">
          <cell r="B38" t="str">
            <v>xG sofridos (xGC)</v>
          </cell>
          <cell r="L38" t="str">
            <v>0.18</v>
          </cell>
        </row>
      </sheetData>
      <sheetData sheetId="8">
        <row r="2">
          <cell r="B2" t="str">
            <v>Ataque</v>
          </cell>
          <cell r="L2">
            <v>83.333333333333329</v>
          </cell>
        </row>
        <row r="3">
          <cell r="B3" t="str">
            <v>Cartões amarelos</v>
          </cell>
          <cell r="L3">
            <v>1.7777777777777777</v>
          </cell>
        </row>
        <row r="4">
          <cell r="B4" t="str">
            <v>Cartões vermelhos</v>
          </cell>
          <cell r="L4">
            <v>0.1111111111111111</v>
          </cell>
        </row>
        <row r="5">
          <cell r="B5" t="str">
            <v>Chutes bloqueados</v>
          </cell>
          <cell r="L5">
            <v>3.3333333333333335</v>
          </cell>
        </row>
        <row r="6">
          <cell r="B6" t="str">
            <v>Chutes no gol</v>
          </cell>
          <cell r="L6">
            <v>4.1428571428571432</v>
          </cell>
        </row>
        <row r="7">
          <cell r="B7" t="str">
            <v>Chutes para fora</v>
          </cell>
          <cell r="L7">
            <v>5.4285714285714288</v>
          </cell>
        </row>
        <row r="8">
          <cell r="B8" t="str">
            <v>Escanteios</v>
          </cell>
          <cell r="L8">
            <v>4.4444444444444446</v>
          </cell>
        </row>
        <row r="9">
          <cell r="B9" t="str">
            <v>Impedimentos</v>
          </cell>
          <cell r="L9">
            <v>1.4444444444444444</v>
          </cell>
        </row>
        <row r="10">
          <cell r="B10" t="str">
            <v>Laterais cobrados</v>
          </cell>
          <cell r="L10">
            <v>15</v>
          </cell>
        </row>
        <row r="11">
          <cell r="B11" t="str">
            <v>Posse de Bola</v>
          </cell>
          <cell r="L11">
            <v>0.55875000000000008</v>
          </cell>
        </row>
        <row r="12">
          <cell r="B12" t="str">
            <v>Tiros de meta</v>
          </cell>
          <cell r="L12">
            <v>6</v>
          </cell>
        </row>
        <row r="13">
          <cell r="B13" t="str">
            <v>Total de chutes</v>
          </cell>
          <cell r="L13">
            <v>12</v>
          </cell>
        </row>
        <row r="14">
          <cell r="B14" t="str">
            <v>Trave</v>
          </cell>
          <cell r="L14">
            <v>0.33333333333333331</v>
          </cell>
        </row>
      </sheetData>
      <sheetData sheetId="9">
        <row r="2">
          <cell r="B2" t="str">
            <v>Assistência esperada (xA)</v>
          </cell>
          <cell r="M2">
            <v>0.72000000000000008</v>
          </cell>
        </row>
        <row r="3">
          <cell r="B3" t="str">
            <v>Ataque</v>
          </cell>
          <cell r="M3">
            <v>87.222222222222229</v>
          </cell>
        </row>
        <row r="4">
          <cell r="B4" t="str">
            <v>Cartões amarelos</v>
          </cell>
          <cell r="M4">
            <v>2.2999999999999998</v>
          </cell>
        </row>
        <row r="5">
          <cell r="B5" t="str">
            <v>Cartões vermelhos</v>
          </cell>
          <cell r="M5">
            <v>0.44444444444444442</v>
          </cell>
        </row>
        <row r="6">
          <cell r="B6" t="str">
            <v>Chances perigosas criadas</v>
          </cell>
          <cell r="M6">
            <v>1.3</v>
          </cell>
        </row>
        <row r="7">
          <cell r="B7" t="str">
            <v>Chutes bloqueados</v>
          </cell>
          <cell r="M7">
            <v>2.2999999999999998</v>
          </cell>
        </row>
        <row r="8">
          <cell r="B8" t="str">
            <v>Chutes dentro da área</v>
          </cell>
          <cell r="M8">
            <v>6.7</v>
          </cell>
        </row>
        <row r="9">
          <cell r="B9" t="str">
            <v>Chutes fora da área</v>
          </cell>
          <cell r="M9">
            <v>3.8</v>
          </cell>
        </row>
        <row r="10">
          <cell r="B10" t="str">
            <v>Chutes no gol</v>
          </cell>
          <cell r="M10">
            <v>4.4000000000000004</v>
          </cell>
        </row>
        <row r="11">
          <cell r="B11" t="str">
            <v>Chutes para fora</v>
          </cell>
          <cell r="M11">
            <v>4.2</v>
          </cell>
        </row>
        <row r="12">
          <cell r="B12" t="str">
            <v>Defesas do goleiro</v>
          </cell>
          <cell r="M12">
            <v>1.6</v>
          </cell>
        </row>
        <row r="13">
          <cell r="B13" t="str">
            <v>Driblado</v>
          </cell>
          <cell r="M13">
            <v>7.3</v>
          </cell>
        </row>
        <row r="14">
          <cell r="B14" t="str">
            <v>Duelos ganhos</v>
          </cell>
          <cell r="M14">
            <v>49.7</v>
          </cell>
        </row>
        <row r="15">
          <cell r="B15" t="str">
            <v>Escanteios</v>
          </cell>
          <cell r="M15">
            <v>6.3</v>
          </cell>
        </row>
        <row r="16">
          <cell r="B16" t="str">
            <v>Faltas</v>
          </cell>
          <cell r="M16">
            <v>13.6</v>
          </cell>
        </row>
        <row r="17">
          <cell r="B17" t="str">
            <v>Faltas sofridas</v>
          </cell>
          <cell r="M17">
            <v>15.6</v>
          </cell>
        </row>
        <row r="18">
          <cell r="B18" t="str">
            <v>Gol sofrido devido a erro individual</v>
          </cell>
          <cell r="M18">
            <v>0.66666666666666663</v>
          </cell>
        </row>
        <row r="19">
          <cell r="B19" t="str">
            <v>Gols esperados (xG)</v>
          </cell>
          <cell r="M19">
            <v>1.1088888888888888</v>
          </cell>
        </row>
        <row r="20">
          <cell r="B20" t="str">
            <v>Gols esperados em chutes no alvo</v>
          </cell>
          <cell r="M20">
            <v>1.1733333333333331</v>
          </cell>
        </row>
        <row r="21">
          <cell r="B21" t="str">
            <v>Grandes chances perdidas</v>
          </cell>
          <cell r="M21">
            <v>0.75</v>
          </cell>
        </row>
        <row r="22">
          <cell r="B22" t="str">
            <v>Impedimentos</v>
          </cell>
          <cell r="M22">
            <v>1.6</v>
          </cell>
        </row>
        <row r="23">
          <cell r="B23" t="str">
            <v>Interceptações</v>
          </cell>
          <cell r="M23">
            <v>8.1999999999999993</v>
          </cell>
        </row>
        <row r="24">
          <cell r="B24" t="str">
            <v>Laterais cobrados</v>
          </cell>
          <cell r="M24">
            <v>18.7</v>
          </cell>
        </row>
        <row r="25">
          <cell r="B25" t="str">
            <v>Passes completos</v>
          </cell>
          <cell r="M25">
            <v>266.5</v>
          </cell>
        </row>
        <row r="26">
          <cell r="B26" t="str">
            <v>Passes decisivos</v>
          </cell>
          <cell r="M26">
            <v>7.4</v>
          </cell>
        </row>
        <row r="27">
          <cell r="B27" t="str">
            <v>Passes no campo adversário</v>
          </cell>
          <cell r="M27">
            <v>227</v>
          </cell>
        </row>
        <row r="28">
          <cell r="B28" t="str">
            <v>Passes no próprio campo</v>
          </cell>
          <cell r="M28">
            <v>126.5</v>
          </cell>
        </row>
        <row r="29">
          <cell r="B29" t="str">
            <v>Passes no último terço</v>
          </cell>
          <cell r="M29">
            <v>80</v>
          </cell>
        </row>
        <row r="30">
          <cell r="B30" t="str">
            <v>Passes para trás</v>
          </cell>
          <cell r="M30">
            <v>51.3</v>
          </cell>
        </row>
        <row r="31">
          <cell r="B31" t="str">
            <v>Perigo afastado</v>
          </cell>
          <cell r="M31">
            <v>16.5</v>
          </cell>
        </row>
        <row r="32">
          <cell r="B32" t="str">
            <v>Posse de Bola</v>
          </cell>
          <cell r="M32">
            <v>0.45500000000000007</v>
          </cell>
        </row>
        <row r="33">
          <cell r="B33" t="str">
            <v>Posse de bola perdida</v>
          </cell>
          <cell r="M33">
            <v>118.6</v>
          </cell>
        </row>
        <row r="34">
          <cell r="B34" t="str">
            <v>Posse recuperada no terço final</v>
          </cell>
          <cell r="M34">
            <v>4.2</v>
          </cell>
        </row>
        <row r="35">
          <cell r="B35" t="str">
            <v>Tiros de meta</v>
          </cell>
          <cell r="M35">
            <v>4.8</v>
          </cell>
        </row>
        <row r="36">
          <cell r="B36" t="str">
            <v>Total de chutes</v>
          </cell>
          <cell r="M36">
            <v>10.9</v>
          </cell>
        </row>
        <row r="37">
          <cell r="B37" t="str">
            <v>Trave</v>
          </cell>
          <cell r="M37">
            <v>0.33333333333333331</v>
          </cell>
        </row>
        <row r="38">
          <cell r="B38" t="str">
            <v>xG sofridos (xGC)</v>
          </cell>
          <cell r="M38">
            <v>0.5955555555555555</v>
          </cell>
        </row>
      </sheetData>
      <sheetData sheetId="10">
        <row r="2">
          <cell r="B2" t="str">
            <v>Assistência esperada (xA)</v>
          </cell>
          <cell r="K2">
            <v>0.59750000000000003</v>
          </cell>
        </row>
        <row r="3">
          <cell r="B3" t="str">
            <v>Ataque</v>
          </cell>
          <cell r="K3">
            <v>78.5</v>
          </cell>
        </row>
        <row r="4">
          <cell r="B4" t="str">
            <v>Cartões amarelos</v>
          </cell>
          <cell r="K4">
            <v>0.8571428571428571</v>
          </cell>
        </row>
        <row r="5">
          <cell r="B5" t="str">
            <v>Cartões vermelhos</v>
          </cell>
          <cell r="K5">
            <v>0.14285714285714285</v>
          </cell>
        </row>
        <row r="6">
          <cell r="B6" t="str">
            <v>Chances perigosas criadas</v>
          </cell>
          <cell r="K6">
            <v>2</v>
          </cell>
        </row>
        <row r="7">
          <cell r="B7" t="str">
            <v>Chutes bloqueados</v>
          </cell>
          <cell r="K7">
            <v>1.5714285714285714</v>
          </cell>
        </row>
        <row r="8">
          <cell r="B8" t="str">
            <v>Chutes dentro da área</v>
          </cell>
          <cell r="K8">
            <v>5.5</v>
          </cell>
        </row>
        <row r="9">
          <cell r="B9" t="str">
            <v>Chutes fora da área</v>
          </cell>
          <cell r="K9">
            <v>2.5</v>
          </cell>
        </row>
        <row r="10">
          <cell r="B10" t="str">
            <v>Chutes no gol</v>
          </cell>
          <cell r="K10">
            <v>3.4285714285714284</v>
          </cell>
        </row>
        <row r="11">
          <cell r="B11" t="str">
            <v>Chutes para fora</v>
          </cell>
          <cell r="K11">
            <v>5.1428571428571432</v>
          </cell>
        </row>
        <row r="12">
          <cell r="B12" t="str">
            <v>Defesas do goleiro</v>
          </cell>
          <cell r="K12">
            <v>2</v>
          </cell>
        </row>
        <row r="13">
          <cell r="B13" t="str">
            <v>Driblado</v>
          </cell>
          <cell r="K13">
            <v>3</v>
          </cell>
        </row>
        <row r="14">
          <cell r="B14" t="str">
            <v>Duelos ganhos</v>
          </cell>
          <cell r="K14">
            <v>48.75</v>
          </cell>
        </row>
        <row r="15">
          <cell r="B15" t="str">
            <v>Escanteios</v>
          </cell>
          <cell r="K15">
            <v>5.4285714285714288</v>
          </cell>
        </row>
        <row r="16">
          <cell r="B16" t="str">
            <v>Faltas</v>
          </cell>
          <cell r="K16">
            <v>9</v>
          </cell>
        </row>
        <row r="17">
          <cell r="B17" t="str">
            <v>Faltas sofridas</v>
          </cell>
          <cell r="K17">
            <v>12.75</v>
          </cell>
        </row>
        <row r="18">
          <cell r="B18" t="str">
            <v>Gol sofrido devido a erro individual</v>
          </cell>
          <cell r="K18">
            <v>0.5</v>
          </cell>
        </row>
        <row r="19">
          <cell r="B19" t="str">
            <v>Gols esperados (xG)</v>
          </cell>
          <cell r="K19">
            <v>0.71750000000000003</v>
          </cell>
        </row>
        <row r="20">
          <cell r="B20" t="str">
            <v>Gols esperados em chutes no alvo</v>
          </cell>
          <cell r="K20">
            <v>1.1725000000000001</v>
          </cell>
        </row>
        <row r="21">
          <cell r="B21" t="str">
            <v>Grandes chances perdidas</v>
          </cell>
          <cell r="K21">
            <v>2</v>
          </cell>
        </row>
        <row r="22">
          <cell r="B22" t="str">
            <v>Impedimentos</v>
          </cell>
          <cell r="K22">
            <v>1.2857142857142858</v>
          </cell>
        </row>
        <row r="23">
          <cell r="B23" t="str">
            <v>Interceptações</v>
          </cell>
          <cell r="K23">
            <v>8</v>
          </cell>
        </row>
        <row r="24">
          <cell r="B24" t="str">
            <v>Laterais cobrados</v>
          </cell>
          <cell r="K24">
            <v>18.428571428571427</v>
          </cell>
        </row>
        <row r="25">
          <cell r="B25" t="str">
            <v>Passes completos</v>
          </cell>
          <cell r="K25">
            <v>399</v>
          </cell>
        </row>
        <row r="26">
          <cell r="B26" t="str">
            <v>Passes decisivos</v>
          </cell>
          <cell r="K26">
            <v>6.25</v>
          </cell>
        </row>
        <row r="27">
          <cell r="B27" t="str">
            <v>Passes no campo adversário</v>
          </cell>
          <cell r="K27">
            <v>221</v>
          </cell>
        </row>
        <row r="28">
          <cell r="B28" t="str">
            <v>Passes no próprio campo</v>
          </cell>
          <cell r="K28">
            <v>267.5</v>
          </cell>
        </row>
        <row r="29">
          <cell r="B29" t="str">
            <v>Passes no último terço</v>
          </cell>
          <cell r="K29">
            <v>54.75</v>
          </cell>
        </row>
        <row r="30">
          <cell r="B30" t="str">
            <v>Passes para trás</v>
          </cell>
          <cell r="K30">
            <v>82.5</v>
          </cell>
        </row>
        <row r="31">
          <cell r="B31" t="str">
            <v>Perigo afastado</v>
          </cell>
          <cell r="K31">
            <v>27</v>
          </cell>
        </row>
        <row r="32">
          <cell r="B32" t="str">
            <v>Posse de Bola</v>
          </cell>
          <cell r="K32">
            <v>0.57374999999999998</v>
          </cell>
        </row>
        <row r="33">
          <cell r="B33" t="str">
            <v>Posse de bola perdida</v>
          </cell>
          <cell r="K33">
            <v>111.5</v>
          </cell>
        </row>
        <row r="34">
          <cell r="B34" t="str">
            <v>Posse recuperada no terço final</v>
          </cell>
          <cell r="K34">
            <v>3</v>
          </cell>
        </row>
        <row r="35">
          <cell r="B35" t="str">
            <v>Tiros de meta</v>
          </cell>
          <cell r="K35">
            <v>5.7142857142857144</v>
          </cell>
        </row>
        <row r="36">
          <cell r="B36" t="str">
            <v>Total de chutes</v>
          </cell>
          <cell r="K36">
            <v>10.142857142857142</v>
          </cell>
        </row>
        <row r="37">
          <cell r="B37" t="str">
            <v>Trave</v>
          </cell>
          <cell r="K37">
            <v>0.2857142857142857</v>
          </cell>
        </row>
        <row r="38">
          <cell r="B38" t="str">
            <v>xG sofridos (xGC)</v>
          </cell>
          <cell r="K38">
            <v>1.05</v>
          </cell>
        </row>
      </sheetData>
      <sheetData sheetId="11">
        <row r="2">
          <cell r="B2" t="str">
            <v>Assistência esperada (xA)</v>
          </cell>
          <cell r="M2">
            <v>1.1510000000000002</v>
          </cell>
        </row>
        <row r="3">
          <cell r="B3" t="str">
            <v>Ataque</v>
          </cell>
          <cell r="M3">
            <v>77</v>
          </cell>
        </row>
        <row r="4">
          <cell r="B4" t="str">
            <v>Cartões amarelos</v>
          </cell>
          <cell r="M4">
            <v>0.9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2.2999999999999998</v>
          </cell>
        </row>
        <row r="7">
          <cell r="B7" t="str">
            <v>Chutes bloqueados</v>
          </cell>
          <cell r="M7">
            <v>3.4</v>
          </cell>
        </row>
        <row r="8">
          <cell r="B8" t="str">
            <v>Chutes dentro da área</v>
          </cell>
          <cell r="M8">
            <v>8.1999999999999993</v>
          </cell>
        </row>
        <row r="9">
          <cell r="B9" t="str">
            <v>Chutes fora da área</v>
          </cell>
          <cell r="M9">
            <v>4.7</v>
          </cell>
        </row>
        <row r="10">
          <cell r="B10" t="str">
            <v>Chutes no gol</v>
          </cell>
          <cell r="M10">
            <v>5.3</v>
          </cell>
        </row>
        <row r="11">
          <cell r="B11" t="str">
            <v>Chutes para fora</v>
          </cell>
          <cell r="M11">
            <v>4.2</v>
          </cell>
        </row>
        <row r="12">
          <cell r="B12" t="str">
            <v>Defesas do goleiro</v>
          </cell>
          <cell r="M12">
            <v>2</v>
          </cell>
        </row>
        <row r="13">
          <cell r="B13" t="str">
            <v>Driblado</v>
          </cell>
          <cell r="M13">
            <v>7</v>
          </cell>
        </row>
        <row r="14">
          <cell r="B14" t="str">
            <v>Duelos ganhos</v>
          </cell>
          <cell r="M14">
            <v>43.1</v>
          </cell>
        </row>
        <row r="15">
          <cell r="B15" t="str">
            <v>Escanteios</v>
          </cell>
          <cell r="M15">
            <v>4.4000000000000004</v>
          </cell>
        </row>
        <row r="16">
          <cell r="B16" t="str">
            <v>Faltas</v>
          </cell>
          <cell r="M16">
            <v>13.5</v>
          </cell>
        </row>
        <row r="17">
          <cell r="B17" t="str">
            <v>Faltas sofridas</v>
          </cell>
          <cell r="M17">
            <v>12.7</v>
          </cell>
        </row>
        <row r="18">
          <cell r="B18" t="str">
            <v>Gol sofrido devido a erro individual</v>
          </cell>
          <cell r="M18">
            <v>0.66666666666666663</v>
          </cell>
        </row>
        <row r="19">
          <cell r="B19" t="str">
            <v>Gols esperados (xG)</v>
          </cell>
          <cell r="M19">
            <v>1.5109999999999999</v>
          </cell>
        </row>
        <row r="20">
          <cell r="B20" t="str">
            <v>Gols esperados em chutes no alvo</v>
          </cell>
          <cell r="M20">
            <v>1.643</v>
          </cell>
        </row>
        <row r="21">
          <cell r="B21" t="str">
            <v>Grandes chances perdidas</v>
          </cell>
          <cell r="M21">
            <v>1.2857142857142858</v>
          </cell>
        </row>
        <row r="22">
          <cell r="B22" t="str">
            <v>Impedimentos</v>
          </cell>
          <cell r="M22">
            <v>1.9</v>
          </cell>
        </row>
        <row r="23">
          <cell r="B23" t="str">
            <v>Interceptações</v>
          </cell>
          <cell r="M23">
            <v>8</v>
          </cell>
        </row>
        <row r="24">
          <cell r="B24" t="str">
            <v>Laterais cobrados</v>
          </cell>
          <cell r="M24">
            <v>22</v>
          </cell>
        </row>
        <row r="25">
          <cell r="B25" t="str">
            <v>Passes completos</v>
          </cell>
          <cell r="M25">
            <v>441.5</v>
          </cell>
        </row>
        <row r="26">
          <cell r="B26" t="str">
            <v>Passes decisivos</v>
          </cell>
          <cell r="M26">
            <v>9.8000000000000007</v>
          </cell>
        </row>
        <row r="27">
          <cell r="B27" t="str">
            <v>Passes no campo adversário</v>
          </cell>
          <cell r="M27">
            <v>274.39999999999998</v>
          </cell>
        </row>
        <row r="28">
          <cell r="B28" t="str">
            <v>Passes no próprio campo</v>
          </cell>
          <cell r="M28">
            <v>249.4</v>
          </cell>
        </row>
        <row r="29">
          <cell r="B29" t="str">
            <v>Passes no último terço</v>
          </cell>
          <cell r="M29">
            <v>95.7</v>
          </cell>
        </row>
        <row r="30">
          <cell r="B30" t="str">
            <v>Passes para trás</v>
          </cell>
          <cell r="M30">
            <v>78.8</v>
          </cell>
        </row>
        <row r="31">
          <cell r="B31" t="str">
            <v>Perigo afastado</v>
          </cell>
          <cell r="M31">
            <v>16.5</v>
          </cell>
        </row>
        <row r="32">
          <cell r="B32" t="str">
            <v>Posse de Bola</v>
          </cell>
          <cell r="M32">
            <v>0.56800000000000006</v>
          </cell>
        </row>
        <row r="33">
          <cell r="B33" t="str">
            <v>Posse de bola perdida</v>
          </cell>
          <cell r="M33">
            <v>114.3</v>
          </cell>
        </row>
        <row r="34">
          <cell r="B34" t="str">
            <v>Posse recuperada no terço final</v>
          </cell>
          <cell r="M34">
            <v>4</v>
          </cell>
        </row>
        <row r="35">
          <cell r="B35" t="str">
            <v>Tiros de meta</v>
          </cell>
          <cell r="M35">
            <v>5.6</v>
          </cell>
        </row>
        <row r="36">
          <cell r="B36" t="str">
            <v>Total de chutes</v>
          </cell>
          <cell r="M36">
            <v>12.9</v>
          </cell>
        </row>
        <row r="37">
          <cell r="B37" t="str">
            <v>Trave</v>
          </cell>
          <cell r="M37">
            <v>0.4</v>
          </cell>
        </row>
        <row r="38">
          <cell r="B38" t="str">
            <v>xG sofridos (xGC)</v>
          </cell>
          <cell r="M38">
            <v>0.71600000000000008</v>
          </cell>
        </row>
      </sheetData>
      <sheetData sheetId="12">
        <row r="2">
          <cell r="B2" t="str">
            <v>Assistência esperada (xA)</v>
          </cell>
          <cell r="L2">
            <v>0.625</v>
          </cell>
        </row>
        <row r="3">
          <cell r="B3" t="str">
            <v>Ataque</v>
          </cell>
          <cell r="L3">
            <v>73.777777777777771</v>
          </cell>
        </row>
        <row r="4">
          <cell r="B4" t="str">
            <v>Cartões amarelos</v>
          </cell>
          <cell r="L4">
            <v>1</v>
          </cell>
        </row>
        <row r="5">
          <cell r="B5" t="str">
            <v>Cartões vermelhos</v>
          </cell>
          <cell r="L5">
            <v>0</v>
          </cell>
        </row>
        <row r="6">
          <cell r="B6" t="str">
            <v>Chances perigosas criadas</v>
          </cell>
          <cell r="L6">
            <v>1.375</v>
          </cell>
        </row>
        <row r="7">
          <cell r="B7" t="str">
            <v>Chutes bloqueados</v>
          </cell>
          <cell r="L7">
            <v>2.6666666666666665</v>
          </cell>
        </row>
        <row r="8">
          <cell r="B8" t="str">
            <v>Chutes dentro da área</v>
          </cell>
          <cell r="L8">
            <v>5.875</v>
          </cell>
        </row>
        <row r="9">
          <cell r="B9" t="str">
            <v>Chutes fora da área</v>
          </cell>
          <cell r="L9">
            <v>2.5</v>
          </cell>
        </row>
        <row r="10">
          <cell r="B10" t="str">
            <v>Chutes no gol</v>
          </cell>
          <cell r="L10">
            <v>2.7777777777777777</v>
          </cell>
        </row>
        <row r="11">
          <cell r="B11" t="str">
            <v>Chutes para fora</v>
          </cell>
          <cell r="L11">
            <v>3.3333333333333335</v>
          </cell>
        </row>
        <row r="12">
          <cell r="B12" t="str">
            <v>Defesas do goleiro</v>
          </cell>
          <cell r="L12">
            <v>2.625</v>
          </cell>
        </row>
        <row r="13">
          <cell r="B13" t="str">
            <v>Driblado</v>
          </cell>
          <cell r="L13">
            <v>6.875</v>
          </cell>
        </row>
        <row r="14">
          <cell r="B14" t="str">
            <v>Duelos ganhos</v>
          </cell>
          <cell r="L14">
            <v>36.625</v>
          </cell>
        </row>
        <row r="15">
          <cell r="B15" t="str">
            <v>Escanteios</v>
          </cell>
          <cell r="L15">
            <v>5.2222222222222223</v>
          </cell>
        </row>
        <row r="16">
          <cell r="B16" t="str">
            <v>Faltas</v>
          </cell>
          <cell r="L16">
            <v>12.125</v>
          </cell>
        </row>
        <row r="17">
          <cell r="B17" t="str">
            <v>Faltas sofridas</v>
          </cell>
          <cell r="L17">
            <v>10</v>
          </cell>
        </row>
        <row r="18">
          <cell r="B18" t="str">
            <v>Gol sofrido devido a erro individual</v>
          </cell>
          <cell r="L18">
            <v>0.5</v>
          </cell>
        </row>
        <row r="19">
          <cell r="B19" t="str">
            <v>Gols esperados (xG)</v>
          </cell>
          <cell r="L19">
            <v>1.02</v>
          </cell>
        </row>
        <row r="20">
          <cell r="B20" t="str">
            <v>Gols esperados em chutes no alvo</v>
          </cell>
          <cell r="L20">
            <v>1.19875</v>
          </cell>
        </row>
        <row r="21">
          <cell r="B21" t="str">
            <v>Grandes chances perdidas</v>
          </cell>
          <cell r="L21">
            <v>1</v>
          </cell>
        </row>
        <row r="22">
          <cell r="B22" t="str">
            <v>Impedimentos</v>
          </cell>
          <cell r="L22">
            <v>1.4444444444444444</v>
          </cell>
        </row>
        <row r="23">
          <cell r="B23" t="str">
            <v>Interceptações</v>
          </cell>
          <cell r="L23">
            <v>10.375</v>
          </cell>
        </row>
        <row r="24">
          <cell r="B24" t="str">
            <v>Laterais cobrados</v>
          </cell>
          <cell r="L24">
            <v>16.777777777777779</v>
          </cell>
        </row>
        <row r="25">
          <cell r="B25" t="str">
            <v>Passes completos</v>
          </cell>
          <cell r="L25">
            <v>398.625</v>
          </cell>
        </row>
        <row r="26">
          <cell r="B26" t="str">
            <v>Passes decisivos</v>
          </cell>
          <cell r="L26">
            <v>6.625</v>
          </cell>
        </row>
        <row r="27">
          <cell r="B27" t="str">
            <v>Passes no campo adversário</v>
          </cell>
          <cell r="L27">
            <v>224.25</v>
          </cell>
        </row>
        <row r="28">
          <cell r="B28" t="str">
            <v>Passes no próprio campo</v>
          </cell>
          <cell r="L28">
            <v>256.875</v>
          </cell>
        </row>
        <row r="29">
          <cell r="B29" t="str">
            <v>Passes no último terço</v>
          </cell>
          <cell r="L29">
            <v>71.375</v>
          </cell>
        </row>
        <row r="30">
          <cell r="B30" t="str">
            <v>Passes para trás</v>
          </cell>
          <cell r="L30">
            <v>86.375</v>
          </cell>
        </row>
        <row r="31">
          <cell r="B31" t="str">
            <v>Perigo afastado</v>
          </cell>
          <cell r="L31">
            <v>16.625</v>
          </cell>
        </row>
        <row r="32">
          <cell r="B32" t="str">
            <v>Posse de Bola</v>
          </cell>
          <cell r="L32">
            <v>0.51</v>
          </cell>
        </row>
        <row r="33">
          <cell r="B33" t="str">
            <v>Posse de bola perdida</v>
          </cell>
          <cell r="L33">
            <v>106</v>
          </cell>
        </row>
        <row r="34">
          <cell r="B34" t="str">
            <v>Posse recuperada no terço final</v>
          </cell>
          <cell r="L34">
            <v>4.5</v>
          </cell>
        </row>
        <row r="35">
          <cell r="B35" t="str">
            <v>Tiros de meta</v>
          </cell>
          <cell r="L35">
            <v>4.5555555555555554</v>
          </cell>
        </row>
        <row r="36">
          <cell r="B36" t="str">
            <v>Total de chutes</v>
          </cell>
          <cell r="L36">
            <v>8.375</v>
          </cell>
        </row>
        <row r="37">
          <cell r="B37" t="str">
            <v>Trave</v>
          </cell>
          <cell r="L37">
            <v>0.55555555555555558</v>
          </cell>
        </row>
        <row r="38">
          <cell r="B38" t="str">
            <v>xG sofridos (xGC)</v>
          </cell>
          <cell r="L38">
            <v>1.4837500000000001</v>
          </cell>
        </row>
      </sheetData>
      <sheetData sheetId="13">
        <row r="2">
          <cell r="B2" t="str">
            <v>Assistência esperada (xA)</v>
          </cell>
          <cell r="L2">
            <v>1.2428571428571427</v>
          </cell>
        </row>
        <row r="3">
          <cell r="B3" t="str">
            <v>Ataque</v>
          </cell>
          <cell r="L3">
            <v>82</v>
          </cell>
        </row>
        <row r="4">
          <cell r="B4" t="str">
            <v>Cartões amarelos</v>
          </cell>
          <cell r="L4">
            <v>1</v>
          </cell>
        </row>
        <row r="5">
          <cell r="B5" t="str">
            <v>Cartões vermelhos</v>
          </cell>
          <cell r="L5">
            <v>0</v>
          </cell>
        </row>
        <row r="6">
          <cell r="B6" t="str">
            <v>Chances perigosas criadas</v>
          </cell>
          <cell r="L6">
            <v>3.7142857142857144</v>
          </cell>
        </row>
        <row r="7">
          <cell r="B7" t="str">
            <v>Chutes bloqueados</v>
          </cell>
          <cell r="L7">
            <v>4.333333333333333</v>
          </cell>
        </row>
        <row r="8">
          <cell r="B8" t="str">
            <v>Chutes dentro da área</v>
          </cell>
          <cell r="L8">
            <v>10.857142857142858</v>
          </cell>
        </row>
        <row r="9">
          <cell r="B9" t="str">
            <v>Chutes fora da área</v>
          </cell>
          <cell r="L9">
            <v>4.5714285714285712</v>
          </cell>
        </row>
        <row r="10">
          <cell r="B10" t="str">
            <v>Chutes no gol</v>
          </cell>
          <cell r="L10">
            <v>4</v>
          </cell>
        </row>
        <row r="11">
          <cell r="B11" t="str">
            <v>Chutes para fora</v>
          </cell>
          <cell r="L11">
            <v>5.4444444444444446</v>
          </cell>
        </row>
        <row r="12">
          <cell r="B12" t="str">
            <v>Defesas do goleiro</v>
          </cell>
          <cell r="L12">
            <v>2</v>
          </cell>
        </row>
        <row r="13">
          <cell r="B13" t="str">
            <v>Driblado</v>
          </cell>
          <cell r="L13">
            <v>10.714285714285714</v>
          </cell>
        </row>
        <row r="14">
          <cell r="B14" t="str">
            <v>Duelos ganhos</v>
          </cell>
          <cell r="L14">
            <v>45.428571428571431</v>
          </cell>
        </row>
        <row r="15">
          <cell r="B15" t="str">
            <v>Escanteios</v>
          </cell>
          <cell r="L15">
            <v>6.1111111111111107</v>
          </cell>
        </row>
        <row r="16">
          <cell r="B16" t="str">
            <v>Faltas</v>
          </cell>
          <cell r="L16">
            <v>15</v>
          </cell>
        </row>
        <row r="17">
          <cell r="B17" t="str">
            <v>Faltas sofridas</v>
          </cell>
          <cell r="L17">
            <v>11</v>
          </cell>
        </row>
        <row r="18">
          <cell r="B18" t="str">
            <v>Gol sofrido devido a erro individual</v>
          </cell>
          <cell r="L18">
            <v>0.66666666666666663</v>
          </cell>
        </row>
        <row r="19">
          <cell r="B19" t="str">
            <v>Gols esperados (xG)</v>
          </cell>
          <cell r="L19">
            <v>1.7842857142857143</v>
          </cell>
        </row>
        <row r="20">
          <cell r="B20" t="str">
            <v>Gols esperados em chutes no alvo</v>
          </cell>
          <cell r="L20">
            <v>1.922857142857143</v>
          </cell>
        </row>
        <row r="21">
          <cell r="B21" t="str">
            <v>Grandes chances perdidas</v>
          </cell>
          <cell r="L21">
            <v>2.2857142857142856</v>
          </cell>
        </row>
        <row r="22">
          <cell r="B22" t="str">
            <v>Impedimentos</v>
          </cell>
          <cell r="L22">
            <v>0.88888888888888884</v>
          </cell>
        </row>
        <row r="23">
          <cell r="B23" t="str">
            <v>Interceptações</v>
          </cell>
          <cell r="L23">
            <v>7.2857142857142856</v>
          </cell>
        </row>
        <row r="24">
          <cell r="B24" t="str">
            <v>Laterais cobrados</v>
          </cell>
          <cell r="L24">
            <v>16.777777777777779</v>
          </cell>
        </row>
        <row r="25">
          <cell r="B25" t="str">
            <v>Passes completos</v>
          </cell>
          <cell r="L25">
            <v>457</v>
          </cell>
        </row>
        <row r="26">
          <cell r="B26" t="str">
            <v>Passes decisivos</v>
          </cell>
          <cell r="L26">
            <v>11</v>
          </cell>
        </row>
        <row r="27">
          <cell r="B27" t="str">
            <v>Passes no campo adversário</v>
          </cell>
          <cell r="L27">
            <v>277.42857142857144</v>
          </cell>
        </row>
        <row r="28">
          <cell r="B28" t="str">
            <v>Passes no próprio campo</v>
          </cell>
          <cell r="L28">
            <v>253</v>
          </cell>
        </row>
        <row r="29">
          <cell r="B29" t="str">
            <v>Passes no último terço</v>
          </cell>
          <cell r="L29">
            <v>88.285714285714292</v>
          </cell>
        </row>
        <row r="30">
          <cell r="B30" t="str">
            <v>Passes para trás</v>
          </cell>
          <cell r="L30">
            <v>86.571428571428569</v>
          </cell>
        </row>
        <row r="31">
          <cell r="B31" t="str">
            <v>Perigo afastado</v>
          </cell>
          <cell r="L31">
            <v>18</v>
          </cell>
        </row>
        <row r="32">
          <cell r="B32" t="str">
            <v>Posse de Bola</v>
          </cell>
          <cell r="L32">
            <v>0.57888888888888901</v>
          </cell>
        </row>
        <row r="33">
          <cell r="B33" t="str">
            <v>Posse de bola perdida</v>
          </cell>
          <cell r="L33">
            <v>101.71428571428571</v>
          </cell>
        </row>
        <row r="34">
          <cell r="B34" t="str">
            <v>Posse recuperada no terço final</v>
          </cell>
          <cell r="L34">
            <v>3</v>
          </cell>
        </row>
        <row r="35">
          <cell r="B35" t="str">
            <v>Tiros de meta</v>
          </cell>
          <cell r="L35">
            <v>6.4444444444444446</v>
          </cell>
        </row>
        <row r="36">
          <cell r="B36" t="str">
            <v>Total de chutes</v>
          </cell>
          <cell r="L36">
            <v>13.777777777777779</v>
          </cell>
        </row>
        <row r="37">
          <cell r="B37" t="str">
            <v>Trave</v>
          </cell>
          <cell r="L37">
            <v>0.44444444444444442</v>
          </cell>
        </row>
        <row r="38">
          <cell r="B38" t="str">
            <v>xG sofridos (xGC)</v>
          </cell>
          <cell r="L38">
            <v>0.68857142857142861</v>
          </cell>
        </row>
      </sheetData>
      <sheetData sheetId="14">
        <row r="2">
          <cell r="B2" t="str">
            <v>Assistência esperada (xA)</v>
          </cell>
          <cell r="M2">
            <v>1.9739999999999998</v>
          </cell>
        </row>
        <row r="3">
          <cell r="B3" t="str">
            <v>Ataque</v>
          </cell>
          <cell r="M3">
            <v>99.5</v>
          </cell>
        </row>
        <row r="4">
          <cell r="B4" t="str">
            <v>Cartões amarelos</v>
          </cell>
          <cell r="M4">
            <v>1.2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4.5</v>
          </cell>
        </row>
        <row r="7">
          <cell r="B7" t="str">
            <v>Chutes bloqueados</v>
          </cell>
          <cell r="M7">
            <v>5.3</v>
          </cell>
        </row>
        <row r="8">
          <cell r="B8" t="str">
            <v>Chutes dentro da área</v>
          </cell>
          <cell r="M8">
            <v>14.9</v>
          </cell>
        </row>
        <row r="9">
          <cell r="B9" t="str">
            <v>Chutes fora da área</v>
          </cell>
          <cell r="M9">
            <v>5.6</v>
          </cell>
        </row>
        <row r="10">
          <cell r="B10" t="str">
            <v>Chutes no gol</v>
          </cell>
          <cell r="M10">
            <v>7.4</v>
          </cell>
        </row>
        <row r="11">
          <cell r="B11" t="str">
            <v>Chutes para fora</v>
          </cell>
          <cell r="M11">
            <v>7.8</v>
          </cell>
        </row>
        <row r="12">
          <cell r="B12" t="str">
            <v>Defesas do goleiro</v>
          </cell>
          <cell r="M12">
            <v>2.2999999999999998</v>
          </cell>
        </row>
        <row r="13">
          <cell r="B13" t="str">
            <v>Driblado</v>
          </cell>
          <cell r="M13">
            <v>6.8</v>
          </cell>
        </row>
        <row r="14">
          <cell r="B14" t="str">
            <v>Duelos ganhos</v>
          </cell>
          <cell r="M14">
            <v>44.4</v>
          </cell>
        </row>
        <row r="15">
          <cell r="B15" t="str">
            <v>Escanteios</v>
          </cell>
          <cell r="M15">
            <v>8</v>
          </cell>
        </row>
        <row r="16">
          <cell r="B16" t="str">
            <v>Faltas</v>
          </cell>
          <cell r="M16">
            <v>10.199999999999999</v>
          </cell>
        </row>
        <row r="17">
          <cell r="B17" t="str">
            <v>Faltas sofridas</v>
          </cell>
          <cell r="M17">
            <v>10.199999999999999</v>
          </cell>
        </row>
        <row r="18">
          <cell r="B18" t="str">
            <v>Gol sofrido devido a erro individual</v>
          </cell>
          <cell r="M18">
            <v>0.25</v>
          </cell>
        </row>
        <row r="19">
          <cell r="B19" t="str">
            <v>Gols esperados (xG)</v>
          </cell>
          <cell r="M19">
            <v>2.8180000000000001</v>
          </cell>
        </row>
        <row r="20">
          <cell r="B20" t="str">
            <v>Gols esperados em chutes no alvo</v>
          </cell>
          <cell r="M20">
            <v>2.8109999999999999</v>
          </cell>
        </row>
        <row r="21">
          <cell r="B21" t="str">
            <v>Grandes chances perdidas</v>
          </cell>
          <cell r="M21">
            <v>2.4</v>
          </cell>
        </row>
        <row r="22">
          <cell r="B22" t="str">
            <v>Impedimentos</v>
          </cell>
          <cell r="M22">
            <v>2.1</v>
          </cell>
        </row>
        <row r="23">
          <cell r="B23" t="str">
            <v>Interceptações</v>
          </cell>
          <cell r="M23">
            <v>7.2</v>
          </cell>
        </row>
        <row r="24">
          <cell r="B24" t="str">
            <v>Laterais cobrados</v>
          </cell>
          <cell r="M24">
            <v>17.7</v>
          </cell>
        </row>
        <row r="25">
          <cell r="B25" t="str">
            <v>Passes completos</v>
          </cell>
          <cell r="M25">
            <v>485.6</v>
          </cell>
        </row>
        <row r="26">
          <cell r="B26" t="str">
            <v>Passes decisivos</v>
          </cell>
          <cell r="M26">
            <v>16.399999999999999</v>
          </cell>
        </row>
        <row r="27">
          <cell r="B27" t="str">
            <v>Passes no campo adversário</v>
          </cell>
          <cell r="M27">
            <v>365.1</v>
          </cell>
        </row>
        <row r="28">
          <cell r="B28" t="str">
            <v>Passes no próprio campo</v>
          </cell>
          <cell r="M28">
            <v>209.7</v>
          </cell>
        </row>
        <row r="29">
          <cell r="B29" t="str">
            <v>Passes no último terço</v>
          </cell>
          <cell r="M29">
            <v>156.5</v>
          </cell>
        </row>
        <row r="30">
          <cell r="B30" t="str">
            <v>Passes para trás</v>
          </cell>
          <cell r="M30">
            <v>81.900000000000006</v>
          </cell>
        </row>
        <row r="31">
          <cell r="B31" t="str">
            <v>Perigo afastado</v>
          </cell>
          <cell r="M31">
            <v>19.5</v>
          </cell>
        </row>
        <row r="32">
          <cell r="B32" t="str">
            <v>Posse de Bola</v>
          </cell>
          <cell r="M32">
            <v>0.65700000000000003</v>
          </cell>
        </row>
        <row r="33">
          <cell r="B33" t="str">
            <v>Posse de bola perdida</v>
          </cell>
          <cell r="M33">
            <v>113.9</v>
          </cell>
        </row>
        <row r="34">
          <cell r="B34" t="str">
            <v>Posse recuperada no terço final</v>
          </cell>
          <cell r="M34">
            <v>4.7</v>
          </cell>
        </row>
        <row r="35">
          <cell r="B35" t="str">
            <v>Tiros de meta</v>
          </cell>
          <cell r="M35">
            <v>4.8</v>
          </cell>
        </row>
        <row r="36">
          <cell r="B36" t="str">
            <v>Total de chutes</v>
          </cell>
          <cell r="M36">
            <v>20.5</v>
          </cell>
        </row>
        <row r="37">
          <cell r="B37" t="str">
            <v>Trave</v>
          </cell>
          <cell r="M37">
            <v>0.7</v>
          </cell>
        </row>
        <row r="38">
          <cell r="B38" t="str">
            <v>xG sofridos (xGC)</v>
          </cell>
          <cell r="M38">
            <v>0.85400000000000009</v>
          </cell>
        </row>
      </sheetData>
      <sheetData sheetId="15">
        <row r="2">
          <cell r="B2" t="str">
            <v>Ataque</v>
          </cell>
          <cell r="M2">
            <v>71.099999999999994</v>
          </cell>
        </row>
        <row r="3">
          <cell r="B3" t="str">
            <v>Cartões amarelos</v>
          </cell>
          <cell r="M3">
            <v>1.8</v>
          </cell>
        </row>
        <row r="4">
          <cell r="B4" t="str">
            <v>Cartões vermelhos</v>
          </cell>
          <cell r="M4">
            <v>0</v>
          </cell>
        </row>
        <row r="5">
          <cell r="B5" t="str">
            <v>Chances perigosas criadas</v>
          </cell>
          <cell r="M5">
            <v>2</v>
          </cell>
        </row>
        <row r="6">
          <cell r="B6" t="str">
            <v>Chutes bloqueados</v>
          </cell>
          <cell r="M6">
            <v>3.3</v>
          </cell>
        </row>
        <row r="7">
          <cell r="B7" t="str">
            <v>Chutes dentro da área</v>
          </cell>
          <cell r="M7">
            <v>8.5</v>
          </cell>
        </row>
        <row r="8">
          <cell r="B8" t="str">
            <v>Chutes fora da área</v>
          </cell>
          <cell r="M8">
            <v>4.375</v>
          </cell>
        </row>
        <row r="9">
          <cell r="B9" t="str">
            <v>Chutes no gol</v>
          </cell>
          <cell r="M9">
            <v>4.5</v>
          </cell>
        </row>
        <row r="10">
          <cell r="B10" t="str">
            <v>Chutes para fora</v>
          </cell>
          <cell r="M10">
            <v>3.9</v>
          </cell>
        </row>
        <row r="11">
          <cell r="B11" t="str">
            <v>Defesas do goleiro</v>
          </cell>
          <cell r="M11">
            <v>2.875</v>
          </cell>
        </row>
        <row r="12">
          <cell r="B12" t="str">
            <v>Driblado</v>
          </cell>
          <cell r="M12">
            <v>5</v>
          </cell>
        </row>
        <row r="13">
          <cell r="B13" t="str">
            <v>Duelos ganhos</v>
          </cell>
          <cell r="M13">
            <v>46.5</v>
          </cell>
        </row>
        <row r="14">
          <cell r="B14" t="str">
            <v>Escanteios</v>
          </cell>
          <cell r="M14">
            <v>3.9</v>
          </cell>
        </row>
        <row r="15">
          <cell r="B15" t="str">
            <v>Faltas</v>
          </cell>
          <cell r="M15">
            <v>12.75</v>
          </cell>
        </row>
        <row r="16">
          <cell r="B16" t="str">
            <v>Faltas sofridas</v>
          </cell>
          <cell r="M16">
            <v>12.375</v>
          </cell>
        </row>
        <row r="17">
          <cell r="B17" t="str">
            <v>Gol sofrido devido a erro individual</v>
          </cell>
          <cell r="M17">
            <v>0</v>
          </cell>
        </row>
        <row r="18">
          <cell r="B18" t="str">
            <v>Grandes chances perdidas</v>
          </cell>
          <cell r="M18">
            <v>1.2857142857142858</v>
          </cell>
        </row>
        <row r="19">
          <cell r="B19" t="str">
            <v>Impedimentos</v>
          </cell>
          <cell r="M19">
            <v>1.6</v>
          </cell>
        </row>
        <row r="20">
          <cell r="B20" t="str">
            <v>Interceptações</v>
          </cell>
          <cell r="M20">
            <v>9.5</v>
          </cell>
        </row>
        <row r="21">
          <cell r="B21" t="str">
            <v>Laterais cobrados</v>
          </cell>
          <cell r="M21">
            <v>22.5</v>
          </cell>
        </row>
        <row r="22">
          <cell r="B22" t="str">
            <v>Passes completos</v>
          </cell>
          <cell r="M22">
            <v>290.25</v>
          </cell>
        </row>
        <row r="23">
          <cell r="B23" t="str">
            <v>Passes decisivos</v>
          </cell>
          <cell r="M23">
            <v>9.125</v>
          </cell>
        </row>
        <row r="24">
          <cell r="B24" t="str">
            <v>Passes no campo adversário</v>
          </cell>
          <cell r="M24">
            <v>205.75</v>
          </cell>
        </row>
        <row r="25">
          <cell r="B25" t="str">
            <v>Passes no próprio campo</v>
          </cell>
          <cell r="M25">
            <v>176.75</v>
          </cell>
        </row>
        <row r="26">
          <cell r="B26" t="str">
            <v>Passes no último terço</v>
          </cell>
          <cell r="M26">
            <v>66.625</v>
          </cell>
        </row>
        <row r="27">
          <cell r="B27" t="str">
            <v>Passes para trás</v>
          </cell>
          <cell r="M27">
            <v>59.125</v>
          </cell>
        </row>
        <row r="28">
          <cell r="B28" t="str">
            <v>Perigo afastado</v>
          </cell>
          <cell r="M28">
            <v>21.625</v>
          </cell>
        </row>
        <row r="29">
          <cell r="B29" t="str">
            <v>Posse de Bola</v>
          </cell>
          <cell r="M29">
            <v>0.53599999999999992</v>
          </cell>
        </row>
        <row r="30">
          <cell r="B30" t="str">
            <v>Posse de bola perdida</v>
          </cell>
          <cell r="M30">
            <v>131.5</v>
          </cell>
        </row>
        <row r="31">
          <cell r="B31" t="str">
            <v>Posse recuperada no terço final</v>
          </cell>
          <cell r="M31">
            <v>3.5</v>
          </cell>
        </row>
        <row r="32">
          <cell r="B32" t="str">
            <v>Tiros de meta</v>
          </cell>
          <cell r="M32">
            <v>9.5</v>
          </cell>
        </row>
        <row r="33">
          <cell r="B33" t="str">
            <v>Total de chutes</v>
          </cell>
          <cell r="M33">
            <v>11.7</v>
          </cell>
        </row>
        <row r="34">
          <cell r="B34" t="str">
            <v>Trave</v>
          </cell>
          <cell r="M34">
            <v>0.2</v>
          </cell>
        </row>
      </sheetData>
      <sheetData sheetId="16">
        <row r="2">
          <cell r="B2" t="str">
            <v>Assistência esperada (xA)</v>
          </cell>
          <cell r="M2">
            <v>0.69111111111111101</v>
          </cell>
        </row>
        <row r="3">
          <cell r="B3" t="str">
            <v>Ataque</v>
          </cell>
          <cell r="M3">
            <v>74.900000000000006</v>
          </cell>
        </row>
        <row r="4">
          <cell r="B4" t="str">
            <v>Cartões amarelos</v>
          </cell>
          <cell r="M4">
            <v>1.5</v>
          </cell>
        </row>
        <row r="5">
          <cell r="B5" t="str">
            <v>Cartões vermelhos</v>
          </cell>
          <cell r="M5">
            <v>0.2</v>
          </cell>
        </row>
        <row r="6">
          <cell r="B6" t="str">
            <v>Chances perigosas criadas</v>
          </cell>
          <cell r="M6">
            <v>2.4444444444444446</v>
          </cell>
        </row>
        <row r="7">
          <cell r="B7" t="str">
            <v>Chutes bloqueados</v>
          </cell>
          <cell r="M7">
            <v>2.2000000000000002</v>
          </cell>
        </row>
        <row r="8">
          <cell r="B8" t="str">
            <v>Chutes dentro da área</v>
          </cell>
          <cell r="M8">
            <v>5.7777777777777777</v>
          </cell>
        </row>
        <row r="9">
          <cell r="B9" t="str">
            <v>Chutes fora da área</v>
          </cell>
          <cell r="M9">
            <v>4.1111111111111107</v>
          </cell>
        </row>
        <row r="10">
          <cell r="B10" t="str">
            <v>Chutes no gol</v>
          </cell>
          <cell r="M10">
            <v>4.0999999999999996</v>
          </cell>
        </row>
        <row r="11">
          <cell r="B11" t="str">
            <v>Chutes para fora</v>
          </cell>
          <cell r="M11">
            <v>3.1</v>
          </cell>
        </row>
        <row r="12">
          <cell r="B12" t="str">
            <v>Defesas do goleiro</v>
          </cell>
          <cell r="M12">
            <v>3.5555555555555554</v>
          </cell>
        </row>
        <row r="13">
          <cell r="B13" t="str">
            <v>Driblado</v>
          </cell>
          <cell r="M13">
            <v>9</v>
          </cell>
        </row>
        <row r="14">
          <cell r="B14" t="str">
            <v>Duelos ganhos</v>
          </cell>
          <cell r="M14">
            <v>53.777777777777779</v>
          </cell>
        </row>
        <row r="15">
          <cell r="B15" t="str">
            <v>Escanteios</v>
          </cell>
          <cell r="M15">
            <v>2.9</v>
          </cell>
        </row>
        <row r="16">
          <cell r="B16" t="str">
            <v>Faltas</v>
          </cell>
          <cell r="M16">
            <v>11.888888888888889</v>
          </cell>
        </row>
        <row r="17">
          <cell r="B17" t="str">
            <v>Faltas sofridas</v>
          </cell>
          <cell r="M17">
            <v>13.222222222222221</v>
          </cell>
        </row>
        <row r="18">
          <cell r="B18" t="str">
            <v>Gol sofrido devido a erro individual</v>
          </cell>
          <cell r="M18">
            <v>0</v>
          </cell>
        </row>
        <row r="19">
          <cell r="B19" t="str">
            <v>Gols esperados (xG)</v>
          </cell>
          <cell r="M19">
            <v>0.87888888888888872</v>
          </cell>
        </row>
        <row r="20">
          <cell r="B20" t="str">
            <v>Gols esperados em chutes no alvo</v>
          </cell>
          <cell r="M20">
            <v>0.96333333333333315</v>
          </cell>
        </row>
        <row r="21">
          <cell r="B21" t="str">
            <v>Grandes chances perdidas</v>
          </cell>
          <cell r="M21">
            <v>1.75</v>
          </cell>
        </row>
        <row r="22">
          <cell r="B22" t="str">
            <v>Impedimentos</v>
          </cell>
          <cell r="M22">
            <v>2.2000000000000002</v>
          </cell>
        </row>
        <row r="23">
          <cell r="B23" t="str">
            <v>Interceptações</v>
          </cell>
          <cell r="M23">
            <v>9.2222222222222214</v>
          </cell>
        </row>
        <row r="24">
          <cell r="B24" t="str">
            <v>Laterais cobrados</v>
          </cell>
          <cell r="M24">
            <v>20.3</v>
          </cell>
        </row>
        <row r="25">
          <cell r="B25" t="str">
            <v>Passes completos</v>
          </cell>
          <cell r="M25">
            <v>354</v>
          </cell>
        </row>
        <row r="26">
          <cell r="B26" t="str">
            <v>Passes decisivos</v>
          </cell>
          <cell r="M26">
            <v>7.5555555555555554</v>
          </cell>
        </row>
        <row r="27">
          <cell r="B27" t="str">
            <v>Passes no campo adversário</v>
          </cell>
          <cell r="M27">
            <v>214.55555555555554</v>
          </cell>
        </row>
        <row r="28">
          <cell r="B28" t="str">
            <v>Passes no próprio campo</v>
          </cell>
          <cell r="M28">
            <v>227.55555555555554</v>
          </cell>
        </row>
        <row r="29">
          <cell r="B29" t="str">
            <v>Passes no último terço</v>
          </cell>
          <cell r="M29">
            <v>72.111111111111114</v>
          </cell>
        </row>
        <row r="30">
          <cell r="B30" t="str">
            <v>Passes para trás</v>
          </cell>
          <cell r="M30">
            <v>61.555555555555557</v>
          </cell>
        </row>
        <row r="31">
          <cell r="B31" t="str">
            <v>Perigo afastado</v>
          </cell>
          <cell r="M31">
            <v>33.777777777777779</v>
          </cell>
        </row>
        <row r="32">
          <cell r="B32" t="str">
            <v>Posse de Bola</v>
          </cell>
          <cell r="M32">
            <v>0.46100000000000013</v>
          </cell>
        </row>
        <row r="33">
          <cell r="B33" t="str">
            <v>Posse de bola perdida</v>
          </cell>
          <cell r="M33">
            <v>127</v>
          </cell>
        </row>
        <row r="34">
          <cell r="B34" t="str">
            <v>Posse recuperada no terço final</v>
          </cell>
          <cell r="M34">
            <v>1.5555555555555556</v>
          </cell>
        </row>
        <row r="35">
          <cell r="B35" t="str">
            <v>Tiros de meta</v>
          </cell>
          <cell r="M35">
            <v>7.3</v>
          </cell>
        </row>
        <row r="36">
          <cell r="B36" t="str">
            <v>Total de chutes</v>
          </cell>
          <cell r="M36">
            <v>9.4</v>
          </cell>
        </row>
        <row r="37">
          <cell r="B37" t="str">
            <v>Trave</v>
          </cell>
          <cell r="M37">
            <v>0.2</v>
          </cell>
        </row>
        <row r="38">
          <cell r="B38" t="str">
            <v>xG sofridos (xGC)</v>
          </cell>
          <cell r="M38">
            <v>0.85444444444444434</v>
          </cell>
        </row>
      </sheetData>
      <sheetData sheetId="17">
        <row r="2">
          <cell r="B2" t="str">
            <v>Assistência esperada (xA)</v>
          </cell>
          <cell r="M2">
            <v>0.49399999999999994</v>
          </cell>
        </row>
        <row r="3">
          <cell r="B3" t="str">
            <v>Ataque</v>
          </cell>
          <cell r="M3">
            <v>89.6</v>
          </cell>
        </row>
        <row r="4">
          <cell r="B4" t="str">
            <v>Cartões amarelos</v>
          </cell>
          <cell r="M4">
            <v>1.3</v>
          </cell>
        </row>
        <row r="5">
          <cell r="B5" t="str">
            <v>Cartões vermelhos</v>
          </cell>
          <cell r="M5">
            <v>0.2</v>
          </cell>
        </row>
        <row r="6">
          <cell r="B6" t="str">
            <v>Chances perigosas criadas</v>
          </cell>
          <cell r="M6">
            <v>1.3</v>
          </cell>
        </row>
        <row r="7">
          <cell r="B7" t="str">
            <v>Chutes bloqueados</v>
          </cell>
          <cell r="M7">
            <v>2.4</v>
          </cell>
        </row>
        <row r="8">
          <cell r="B8" t="str">
            <v>Chutes dentro da área</v>
          </cell>
          <cell r="M8">
            <v>4.8</v>
          </cell>
        </row>
        <row r="9">
          <cell r="B9" t="str">
            <v>Chutes fora da área</v>
          </cell>
          <cell r="M9">
            <v>4.5</v>
          </cell>
        </row>
        <row r="10">
          <cell r="B10" t="str">
            <v>Chutes no gol</v>
          </cell>
          <cell r="M10">
            <v>3.2</v>
          </cell>
        </row>
        <row r="11">
          <cell r="B11" t="str">
            <v>Chutes para fora</v>
          </cell>
          <cell r="M11">
            <v>3.7</v>
          </cell>
        </row>
        <row r="12">
          <cell r="B12" t="str">
            <v>Defesas do goleiro</v>
          </cell>
          <cell r="M12">
            <v>2.5</v>
          </cell>
        </row>
        <row r="13">
          <cell r="B13" t="str">
            <v>Driblado</v>
          </cell>
          <cell r="M13">
            <v>8.4</v>
          </cell>
        </row>
        <row r="14">
          <cell r="B14" t="str">
            <v>Duelos ganhos</v>
          </cell>
          <cell r="M14">
            <v>41.3</v>
          </cell>
        </row>
        <row r="15">
          <cell r="B15" t="str">
            <v>Escanteios</v>
          </cell>
          <cell r="M15">
            <v>2.8</v>
          </cell>
        </row>
        <row r="16">
          <cell r="B16" t="str">
            <v>Faltas</v>
          </cell>
          <cell r="M16">
            <v>13.6</v>
          </cell>
        </row>
        <row r="17">
          <cell r="B17" t="str">
            <v>Faltas sofridas</v>
          </cell>
          <cell r="M17">
            <v>10.9</v>
          </cell>
        </row>
        <row r="18">
          <cell r="B18" t="str">
            <v>Gol sofrido devido a erro individual</v>
          </cell>
          <cell r="M18">
            <v>1</v>
          </cell>
        </row>
        <row r="19">
          <cell r="B19" t="str">
            <v>Gols esperados (xG)</v>
          </cell>
          <cell r="M19">
            <v>0.91100000000000014</v>
          </cell>
        </row>
        <row r="20">
          <cell r="B20" t="str">
            <v>Gols esperados em chutes no alvo</v>
          </cell>
          <cell r="M20">
            <v>0.85099999999999976</v>
          </cell>
        </row>
        <row r="21">
          <cell r="B21" t="str">
            <v>Grandes chances perdidas</v>
          </cell>
          <cell r="M21">
            <v>1.125</v>
          </cell>
        </row>
        <row r="22">
          <cell r="B22" t="str">
            <v>Impedimentos</v>
          </cell>
          <cell r="M22">
            <v>1.4</v>
          </cell>
        </row>
        <row r="23">
          <cell r="B23" t="str">
            <v>Interceptações</v>
          </cell>
          <cell r="M23">
            <v>8</v>
          </cell>
        </row>
        <row r="24">
          <cell r="B24" t="str">
            <v>Laterais cobrados</v>
          </cell>
          <cell r="M24">
            <v>15.6</v>
          </cell>
        </row>
        <row r="25">
          <cell r="B25" t="str">
            <v>Passes completos</v>
          </cell>
          <cell r="M25">
            <v>378.2</v>
          </cell>
        </row>
        <row r="26">
          <cell r="B26" t="str">
            <v>Passes decisivos</v>
          </cell>
          <cell r="M26">
            <v>6.4</v>
          </cell>
        </row>
        <row r="27">
          <cell r="B27" t="str">
            <v>Passes no campo adversário</v>
          </cell>
          <cell r="M27">
            <v>206.3</v>
          </cell>
        </row>
        <row r="28">
          <cell r="B28" t="str">
            <v>Passes no próprio campo</v>
          </cell>
          <cell r="M28">
            <v>251.3</v>
          </cell>
        </row>
        <row r="29">
          <cell r="B29" t="str">
            <v>Passes no último terço</v>
          </cell>
          <cell r="M29">
            <v>61.8</v>
          </cell>
        </row>
        <row r="30">
          <cell r="B30" t="str">
            <v>Passes para trás</v>
          </cell>
          <cell r="M30">
            <v>70.7</v>
          </cell>
        </row>
        <row r="31">
          <cell r="B31" t="str">
            <v>Perigo afastado</v>
          </cell>
          <cell r="M31">
            <v>18.399999999999999</v>
          </cell>
        </row>
        <row r="32">
          <cell r="B32" t="str">
            <v>Posse de Bola</v>
          </cell>
          <cell r="M32">
            <v>0.52600000000000002</v>
          </cell>
        </row>
        <row r="33">
          <cell r="B33" t="str">
            <v>Posse de bola perdida</v>
          </cell>
          <cell r="M33">
            <v>113.3</v>
          </cell>
        </row>
        <row r="34">
          <cell r="B34" t="str">
            <v>Posse recuperada no terço final</v>
          </cell>
          <cell r="M34">
            <v>3</v>
          </cell>
        </row>
        <row r="35">
          <cell r="B35" t="str">
            <v>Tiros de meta</v>
          </cell>
          <cell r="M35">
            <v>6.7</v>
          </cell>
        </row>
        <row r="36">
          <cell r="B36" t="str">
            <v>Total de chutes</v>
          </cell>
          <cell r="M36">
            <v>9.3000000000000007</v>
          </cell>
        </row>
        <row r="37">
          <cell r="B37" t="str">
            <v>Trave</v>
          </cell>
          <cell r="M37">
            <v>0.1</v>
          </cell>
        </row>
        <row r="38">
          <cell r="B38" t="str">
            <v>xG sofridos (xGC)</v>
          </cell>
          <cell r="M38">
            <v>0.83200000000000007</v>
          </cell>
        </row>
      </sheetData>
      <sheetData sheetId="18">
        <row r="2">
          <cell r="B2" t="str">
            <v>Assistência esperada (xA)</v>
          </cell>
          <cell r="M2">
            <v>1.046</v>
          </cell>
        </row>
        <row r="3">
          <cell r="B3" t="str">
            <v>Ataque</v>
          </cell>
          <cell r="M3">
            <v>89.8</v>
          </cell>
        </row>
        <row r="4">
          <cell r="B4" t="str">
            <v>Cartões amarelos</v>
          </cell>
          <cell r="M4">
            <v>1.4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2.5</v>
          </cell>
        </row>
        <row r="7">
          <cell r="B7" t="str">
            <v>Chutes bloqueados</v>
          </cell>
          <cell r="M7">
            <v>3</v>
          </cell>
        </row>
        <row r="8">
          <cell r="B8" t="str">
            <v>Chutes dentro da área</v>
          </cell>
          <cell r="M8">
            <v>9.1999999999999993</v>
          </cell>
        </row>
        <row r="9">
          <cell r="B9" t="str">
            <v>Chutes fora da área</v>
          </cell>
          <cell r="M9">
            <v>3.1</v>
          </cell>
        </row>
        <row r="10">
          <cell r="B10" t="str">
            <v>Chutes no gol</v>
          </cell>
          <cell r="M10">
            <v>4.7</v>
          </cell>
        </row>
        <row r="11">
          <cell r="B11" t="str">
            <v>Chutes para fora</v>
          </cell>
          <cell r="M11">
            <v>4.5999999999999996</v>
          </cell>
        </row>
        <row r="12">
          <cell r="B12" t="str">
            <v>Defesas do goleiro</v>
          </cell>
          <cell r="M12">
            <v>2.6</v>
          </cell>
        </row>
        <row r="13">
          <cell r="B13" t="str">
            <v>Driblado</v>
          </cell>
          <cell r="M13">
            <v>6.4</v>
          </cell>
        </row>
        <row r="14">
          <cell r="B14" t="str">
            <v>Duelos ganhos</v>
          </cell>
          <cell r="M14">
            <v>46.9</v>
          </cell>
        </row>
        <row r="15">
          <cell r="B15" t="str">
            <v>Escanteios</v>
          </cell>
          <cell r="M15">
            <v>5.3</v>
          </cell>
        </row>
        <row r="16">
          <cell r="B16" t="str">
            <v>Faltas</v>
          </cell>
          <cell r="M16">
            <v>11.6</v>
          </cell>
        </row>
        <row r="17">
          <cell r="B17" t="str">
            <v>Faltas sofridas</v>
          </cell>
          <cell r="M17">
            <v>12</v>
          </cell>
        </row>
        <row r="18">
          <cell r="B18" t="str">
            <v>Gol sofrido devido a erro individual</v>
          </cell>
          <cell r="M18">
            <v>0.25</v>
          </cell>
        </row>
        <row r="19">
          <cell r="B19" t="str">
            <v>Gols esperados (xG)</v>
          </cell>
          <cell r="M19">
            <v>1.4390000000000001</v>
          </cell>
        </row>
        <row r="20">
          <cell r="B20" t="str">
            <v>Gols esperados em chutes no alvo</v>
          </cell>
          <cell r="M20">
            <v>1.4769999999999999</v>
          </cell>
        </row>
        <row r="21">
          <cell r="B21" t="str">
            <v>Grandes chances perdidas</v>
          </cell>
          <cell r="M21">
            <v>1.5</v>
          </cell>
        </row>
        <row r="22">
          <cell r="B22" t="str">
            <v>Impedimentos</v>
          </cell>
          <cell r="M22">
            <v>1.1000000000000001</v>
          </cell>
        </row>
        <row r="23">
          <cell r="B23" t="str">
            <v>Interceptações</v>
          </cell>
          <cell r="M23">
            <v>7.3</v>
          </cell>
        </row>
        <row r="24">
          <cell r="B24" t="str">
            <v>Laterais cobrados</v>
          </cell>
          <cell r="M24">
            <v>17.3</v>
          </cell>
        </row>
        <row r="25">
          <cell r="B25" t="str">
            <v>Passes completos</v>
          </cell>
          <cell r="M25">
            <v>395.4</v>
          </cell>
        </row>
        <row r="26">
          <cell r="B26" t="str">
            <v>Passes decisivos</v>
          </cell>
          <cell r="M26">
            <v>9.9</v>
          </cell>
        </row>
        <row r="27">
          <cell r="B27" t="str">
            <v>Passes no campo adversário</v>
          </cell>
          <cell r="M27">
            <v>264.7</v>
          </cell>
        </row>
        <row r="28">
          <cell r="B28" t="str">
            <v>Passes no próprio campo</v>
          </cell>
          <cell r="M28">
            <v>221.2</v>
          </cell>
        </row>
        <row r="29">
          <cell r="B29" t="str">
            <v>Passes no último terço</v>
          </cell>
          <cell r="M29">
            <v>78.2</v>
          </cell>
        </row>
        <row r="30">
          <cell r="B30" t="str">
            <v>Passes para trás</v>
          </cell>
          <cell r="M30">
            <v>70.3</v>
          </cell>
        </row>
        <row r="31">
          <cell r="B31" t="str">
            <v>Perigo afastado</v>
          </cell>
          <cell r="M31">
            <v>23.8</v>
          </cell>
        </row>
        <row r="32">
          <cell r="B32" t="str">
            <v>Posse de Bola</v>
          </cell>
          <cell r="M32">
            <v>0.49500000000000011</v>
          </cell>
        </row>
        <row r="33">
          <cell r="B33" t="str">
            <v>Posse de bola perdida</v>
          </cell>
          <cell r="M33">
            <v>116</v>
          </cell>
        </row>
        <row r="34">
          <cell r="B34" t="str">
            <v>Posse recuperada no terço final</v>
          </cell>
          <cell r="M34">
            <v>4.4000000000000004</v>
          </cell>
        </row>
        <row r="35">
          <cell r="B35" t="str">
            <v>Tiros de meta</v>
          </cell>
          <cell r="M35">
            <v>6.5</v>
          </cell>
        </row>
        <row r="36">
          <cell r="B36" t="str">
            <v>Total de chutes</v>
          </cell>
          <cell r="M36">
            <v>12.3</v>
          </cell>
        </row>
        <row r="37">
          <cell r="B37" t="str">
            <v>Trave</v>
          </cell>
          <cell r="M37">
            <v>0.4</v>
          </cell>
        </row>
        <row r="38">
          <cell r="B38" t="str">
            <v>xG sofridos (xGC)</v>
          </cell>
          <cell r="M38">
            <v>1.2910000000000001</v>
          </cell>
        </row>
      </sheetData>
      <sheetData sheetId="19">
        <row r="2">
          <cell r="B2" t="str">
            <v>Assistência esperada (xA)</v>
          </cell>
          <cell r="M2">
            <v>2.0589999999999997</v>
          </cell>
        </row>
        <row r="3">
          <cell r="B3" t="str">
            <v>Ataque</v>
          </cell>
          <cell r="M3">
            <v>128.80000000000001</v>
          </cell>
        </row>
        <row r="4">
          <cell r="B4" t="str">
            <v>Cartões amarelos</v>
          </cell>
          <cell r="M4">
            <v>1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5.9</v>
          </cell>
        </row>
        <row r="7">
          <cell r="B7" t="str">
            <v>Chutes bloqueados</v>
          </cell>
          <cell r="M7">
            <v>5.9</v>
          </cell>
        </row>
        <row r="8">
          <cell r="B8" t="str">
            <v>Chutes dentro da área</v>
          </cell>
          <cell r="M8">
            <v>15.6</v>
          </cell>
        </row>
        <row r="9">
          <cell r="B9" t="str">
            <v>Chutes fora da área</v>
          </cell>
          <cell r="M9">
            <v>5.2</v>
          </cell>
        </row>
        <row r="10">
          <cell r="B10" t="str">
            <v>Chutes no gol</v>
          </cell>
          <cell r="M10">
            <v>8.6</v>
          </cell>
        </row>
        <row r="11">
          <cell r="B11" t="str">
            <v>Chutes para fora</v>
          </cell>
          <cell r="M11">
            <v>6.3</v>
          </cell>
        </row>
        <row r="12">
          <cell r="B12" t="str">
            <v>Defesas do goleiro</v>
          </cell>
          <cell r="M12">
            <v>1.9</v>
          </cell>
        </row>
        <row r="13">
          <cell r="B13" t="str">
            <v>Driblado</v>
          </cell>
          <cell r="M13">
            <v>5.9</v>
          </cell>
        </row>
        <row r="14">
          <cell r="B14" t="str">
            <v>Duelos ganhos</v>
          </cell>
          <cell r="M14">
            <v>36.799999999999997</v>
          </cell>
        </row>
        <row r="15">
          <cell r="B15" t="str">
            <v>Escanteios</v>
          </cell>
          <cell r="M15">
            <v>6.7</v>
          </cell>
        </row>
        <row r="16">
          <cell r="B16" t="str">
            <v>Faltas</v>
          </cell>
          <cell r="M16">
            <v>11.8</v>
          </cell>
        </row>
        <row r="17">
          <cell r="B17" t="str">
            <v>Faltas sofridas</v>
          </cell>
          <cell r="M17">
            <v>8.1</v>
          </cell>
        </row>
        <row r="18">
          <cell r="B18" t="str">
            <v>Gol sofrido devido a erro individual</v>
          </cell>
          <cell r="M18">
            <v>0</v>
          </cell>
        </row>
        <row r="19">
          <cell r="B19" t="str">
            <v>Gols esperados (xG)</v>
          </cell>
          <cell r="M19">
            <v>2.8549999999999995</v>
          </cell>
        </row>
        <row r="20">
          <cell r="B20" t="str">
            <v>Gols esperados em chutes no alvo</v>
          </cell>
          <cell r="M20">
            <v>2.71</v>
          </cell>
        </row>
        <row r="21">
          <cell r="B21" t="str">
            <v>Grandes chances perdidas</v>
          </cell>
          <cell r="M21">
            <v>3.8</v>
          </cell>
        </row>
        <row r="22">
          <cell r="B22" t="str">
            <v>Impedimentos</v>
          </cell>
          <cell r="M22">
            <v>2.2000000000000002</v>
          </cell>
        </row>
        <row r="23">
          <cell r="B23" t="str">
            <v>Interceptações</v>
          </cell>
          <cell r="M23">
            <v>6.7</v>
          </cell>
        </row>
        <row r="24">
          <cell r="B24" t="str">
            <v>Laterais cobrados</v>
          </cell>
          <cell r="M24">
            <v>16.600000000000001</v>
          </cell>
        </row>
        <row r="25">
          <cell r="B25" t="str">
            <v>Passes completos</v>
          </cell>
          <cell r="M25">
            <v>644.6</v>
          </cell>
        </row>
        <row r="26">
          <cell r="B26" t="str">
            <v>Passes decisivos</v>
          </cell>
          <cell r="M26">
            <v>15.5</v>
          </cell>
        </row>
        <row r="27">
          <cell r="B27" t="str">
            <v>Passes no campo adversário</v>
          </cell>
          <cell r="M27">
            <v>460.2</v>
          </cell>
        </row>
        <row r="28">
          <cell r="B28" t="str">
            <v>Passes no próprio campo</v>
          </cell>
          <cell r="M28">
            <v>261.8</v>
          </cell>
        </row>
        <row r="29">
          <cell r="B29" t="str">
            <v>Passes no último terço</v>
          </cell>
          <cell r="M29">
            <v>193.5</v>
          </cell>
        </row>
        <row r="30">
          <cell r="B30" t="str">
            <v>Passes para trás</v>
          </cell>
          <cell r="M30">
            <v>128.30000000000001</v>
          </cell>
        </row>
        <row r="31">
          <cell r="B31" t="str">
            <v>Perigo afastado</v>
          </cell>
          <cell r="M31">
            <v>13.7</v>
          </cell>
        </row>
        <row r="32">
          <cell r="B32" t="str">
            <v>Posse de Bola</v>
          </cell>
          <cell r="M32">
            <v>0.65900000000000003</v>
          </cell>
        </row>
        <row r="33">
          <cell r="B33" t="str">
            <v>Posse de bola perdida</v>
          </cell>
          <cell r="M33">
            <v>102.8</v>
          </cell>
        </row>
        <row r="34">
          <cell r="B34" t="str">
            <v>Posse recuperada no terço final</v>
          </cell>
          <cell r="M34">
            <v>7.6</v>
          </cell>
        </row>
        <row r="35">
          <cell r="B35" t="str">
            <v>Tiros de meta</v>
          </cell>
          <cell r="M35">
            <v>3.7</v>
          </cell>
        </row>
        <row r="36">
          <cell r="B36" t="str">
            <v>Total de chutes</v>
          </cell>
          <cell r="M36">
            <v>20.8</v>
          </cell>
        </row>
        <row r="37">
          <cell r="B37" t="str">
            <v>Trave</v>
          </cell>
          <cell r="M37">
            <v>0.6</v>
          </cell>
        </row>
        <row r="38">
          <cell r="B38" t="str">
            <v>xG sofridos (xGC)</v>
          </cell>
          <cell r="M38">
            <v>0.65299999999999991</v>
          </cell>
        </row>
      </sheetData>
      <sheetData sheetId="20">
        <row r="2">
          <cell r="B2" t="str">
            <v>Assistência esperada (xA)</v>
          </cell>
          <cell r="L2">
            <v>1.1112499999999998</v>
          </cell>
        </row>
        <row r="3">
          <cell r="B3" t="str">
            <v>Ataque</v>
          </cell>
          <cell r="L3">
            <v>60.444444444444443</v>
          </cell>
        </row>
        <row r="4">
          <cell r="B4" t="str">
            <v>Cartões amarelos</v>
          </cell>
          <cell r="L4">
            <v>1.5555555555555556</v>
          </cell>
        </row>
        <row r="5">
          <cell r="B5" t="str">
            <v>Cartões vermelhos</v>
          </cell>
          <cell r="L5">
            <v>0</v>
          </cell>
        </row>
        <row r="6">
          <cell r="B6" t="str">
            <v>Chances perigosas criadas</v>
          </cell>
          <cell r="L6">
            <v>2.3333333333333335</v>
          </cell>
        </row>
        <row r="7">
          <cell r="B7" t="str">
            <v>Chutes bloqueados</v>
          </cell>
          <cell r="L7">
            <v>2.7777777777777777</v>
          </cell>
        </row>
        <row r="8">
          <cell r="B8" t="str">
            <v>Chutes dentro da área</v>
          </cell>
          <cell r="L8">
            <v>7.8888888888888893</v>
          </cell>
        </row>
        <row r="9">
          <cell r="B9" t="str">
            <v>Chutes fora da área</v>
          </cell>
          <cell r="L9">
            <v>3.7777777777777777</v>
          </cell>
        </row>
        <row r="10">
          <cell r="B10" t="str">
            <v>Chutes no gol</v>
          </cell>
          <cell r="L10">
            <v>5.2222222222222223</v>
          </cell>
        </row>
        <row r="11">
          <cell r="B11" t="str">
            <v>Chutes para fora</v>
          </cell>
          <cell r="L11">
            <v>3.6666666666666665</v>
          </cell>
        </row>
        <row r="12">
          <cell r="B12" t="str">
            <v>Defesas do goleiro</v>
          </cell>
          <cell r="L12">
            <v>3.3333333333333335</v>
          </cell>
        </row>
        <row r="13">
          <cell r="B13" t="str">
            <v>Driblado</v>
          </cell>
          <cell r="L13">
            <v>7.5555555555555554</v>
          </cell>
        </row>
        <row r="14">
          <cell r="B14" t="str">
            <v>Duelos ganhos</v>
          </cell>
          <cell r="L14">
            <v>38</v>
          </cell>
        </row>
        <row r="15">
          <cell r="B15" t="str">
            <v>Escanteios</v>
          </cell>
          <cell r="L15">
            <v>4.4444444444444446</v>
          </cell>
        </row>
        <row r="16">
          <cell r="B16" t="str">
            <v>Faltas</v>
          </cell>
          <cell r="L16">
            <v>11</v>
          </cell>
        </row>
        <row r="17">
          <cell r="B17" t="str">
            <v>Faltas sofridas</v>
          </cell>
          <cell r="L17">
            <v>9.2222222222222214</v>
          </cell>
        </row>
        <row r="18">
          <cell r="B18" t="str">
            <v>Gol sofrido devido a erro individual</v>
          </cell>
          <cell r="L18">
            <v>0</v>
          </cell>
        </row>
        <row r="19">
          <cell r="B19" t="str">
            <v>Gols esperados (xG)</v>
          </cell>
          <cell r="L19">
            <v>1.2725</v>
          </cell>
        </row>
        <row r="20">
          <cell r="B20" t="str">
            <v>Gols esperados em chutes no alvo</v>
          </cell>
          <cell r="L20">
            <v>2.15</v>
          </cell>
        </row>
        <row r="21">
          <cell r="B21" t="str">
            <v>Grandes chances perdidas</v>
          </cell>
          <cell r="L21">
            <v>1.5714285714285714</v>
          </cell>
        </row>
        <row r="22">
          <cell r="B22" t="str">
            <v>Impedimentos</v>
          </cell>
          <cell r="L22">
            <v>1.5555555555555556</v>
          </cell>
        </row>
        <row r="23">
          <cell r="B23" t="str">
            <v>Interceptações</v>
          </cell>
          <cell r="L23">
            <v>6.8888888888888893</v>
          </cell>
        </row>
        <row r="24">
          <cell r="B24" t="str">
            <v>Laterais cobrados</v>
          </cell>
          <cell r="L24">
            <v>16.444444444444443</v>
          </cell>
        </row>
        <row r="25">
          <cell r="B25" t="str">
            <v>Passes completos</v>
          </cell>
          <cell r="L25">
            <v>425.22222222222223</v>
          </cell>
        </row>
        <row r="26">
          <cell r="B26" t="str">
            <v>Passes decisivos</v>
          </cell>
          <cell r="L26">
            <v>9.5555555555555554</v>
          </cell>
        </row>
        <row r="27">
          <cell r="B27" t="str">
            <v>Passes no campo adversário</v>
          </cell>
          <cell r="L27">
            <v>258.55555555555554</v>
          </cell>
        </row>
        <row r="28">
          <cell r="B28" t="str">
            <v>Passes no próprio campo</v>
          </cell>
          <cell r="L28">
            <v>249</v>
          </cell>
        </row>
        <row r="29">
          <cell r="B29" t="str">
            <v>Passes no último terço</v>
          </cell>
          <cell r="L29">
            <v>91.777777777777771</v>
          </cell>
        </row>
        <row r="30">
          <cell r="B30" t="str">
            <v>Passes para trás</v>
          </cell>
          <cell r="L30">
            <v>81.333333333333329</v>
          </cell>
        </row>
        <row r="31">
          <cell r="B31" t="str">
            <v>Perigo afastado</v>
          </cell>
          <cell r="L31">
            <v>20.444444444444443</v>
          </cell>
        </row>
        <row r="32">
          <cell r="B32" t="str">
            <v>Posse de Bola</v>
          </cell>
          <cell r="L32">
            <v>0.52555555555555555</v>
          </cell>
        </row>
        <row r="33">
          <cell r="B33" t="str">
            <v>Posse de bola perdida</v>
          </cell>
          <cell r="L33">
            <v>116.11111111111111</v>
          </cell>
        </row>
        <row r="34">
          <cell r="B34" t="str">
            <v>Posse recuperada no terço final</v>
          </cell>
          <cell r="L34">
            <v>5.8888888888888893</v>
          </cell>
        </row>
        <row r="35">
          <cell r="B35" t="str">
            <v>Tiros de meta</v>
          </cell>
          <cell r="L35">
            <v>5.8888888888888893</v>
          </cell>
        </row>
        <row r="36">
          <cell r="B36" t="str">
            <v>Total de chutes</v>
          </cell>
          <cell r="L36">
            <v>11.666666666666666</v>
          </cell>
        </row>
        <row r="37">
          <cell r="B37" t="str">
            <v>Trave</v>
          </cell>
          <cell r="L37">
            <v>0.33333333333333331</v>
          </cell>
        </row>
        <row r="38">
          <cell r="B38" t="str">
            <v>xG sofridos (xGC)</v>
          </cell>
          <cell r="L38">
            <v>0.92875000000000008</v>
          </cell>
        </row>
      </sheetData>
      <sheetData sheetId="21">
        <row r="2">
          <cell r="B2" t="str">
            <v>Assistência esperada (xA)</v>
          </cell>
          <cell r="M2">
            <v>1.9366666666666665</v>
          </cell>
        </row>
        <row r="3">
          <cell r="B3" t="str">
            <v>Ataque</v>
          </cell>
          <cell r="M3">
            <v>80.900000000000006</v>
          </cell>
        </row>
        <row r="4">
          <cell r="B4" t="str">
            <v>Cartões amarelos</v>
          </cell>
          <cell r="M4">
            <v>1.8</v>
          </cell>
        </row>
        <row r="5">
          <cell r="B5" t="str">
            <v>Cartões vermelhos</v>
          </cell>
          <cell r="M5">
            <v>0.2</v>
          </cell>
        </row>
        <row r="6">
          <cell r="B6" t="str">
            <v>Chances perigosas criadas</v>
          </cell>
          <cell r="M6">
            <v>3.9</v>
          </cell>
        </row>
        <row r="7">
          <cell r="B7" t="str">
            <v>Chutes bloqueados</v>
          </cell>
          <cell r="M7">
            <v>5.0999999999999996</v>
          </cell>
        </row>
        <row r="8">
          <cell r="B8" t="str">
            <v>Chutes dentro da área</v>
          </cell>
          <cell r="M8">
            <v>12.3</v>
          </cell>
        </row>
        <row r="9">
          <cell r="B9" t="str">
            <v>Chutes fora da área</v>
          </cell>
          <cell r="M9">
            <v>6.8</v>
          </cell>
        </row>
        <row r="10">
          <cell r="B10" t="str">
            <v>Chutes no gol</v>
          </cell>
          <cell r="M10">
            <v>7.1</v>
          </cell>
        </row>
        <row r="11">
          <cell r="B11" t="str">
            <v>Chutes para fora</v>
          </cell>
          <cell r="M11">
            <v>6.9</v>
          </cell>
        </row>
        <row r="12">
          <cell r="B12" t="str">
            <v>Defesas do goleiro</v>
          </cell>
          <cell r="M12">
            <v>1.9</v>
          </cell>
        </row>
        <row r="13">
          <cell r="B13" t="str">
            <v>Driblado</v>
          </cell>
          <cell r="M13">
            <v>10.1</v>
          </cell>
        </row>
        <row r="14">
          <cell r="B14" t="str">
            <v>Duelos ganhos</v>
          </cell>
          <cell r="M14">
            <v>46</v>
          </cell>
        </row>
        <row r="15">
          <cell r="B15" t="str">
            <v>Escanteios</v>
          </cell>
          <cell r="M15">
            <v>6</v>
          </cell>
        </row>
        <row r="16">
          <cell r="B16" t="str">
            <v>Faltas</v>
          </cell>
          <cell r="M16">
            <v>10.8</v>
          </cell>
        </row>
        <row r="17">
          <cell r="B17" t="str">
            <v>Faltas sofridas</v>
          </cell>
          <cell r="M17">
            <v>12.2</v>
          </cell>
        </row>
        <row r="18">
          <cell r="B18" t="str">
            <v>Gol sofrido devido a erro individual</v>
          </cell>
          <cell r="M18">
            <v>0.5</v>
          </cell>
        </row>
        <row r="19">
          <cell r="B19" t="str">
            <v>Gols esperados (xG)</v>
          </cell>
          <cell r="M19">
            <v>2.3180000000000001</v>
          </cell>
        </row>
        <row r="20">
          <cell r="B20" t="str">
            <v>Gols esperados em chutes no alvo</v>
          </cell>
          <cell r="M20">
            <v>2.5439999999999996</v>
          </cell>
        </row>
        <row r="21">
          <cell r="B21" t="str">
            <v>Grandes chances perdidas</v>
          </cell>
          <cell r="M21">
            <v>2.4444444444444446</v>
          </cell>
        </row>
        <row r="22">
          <cell r="B22" t="str">
            <v>Impedimentos</v>
          </cell>
          <cell r="M22">
            <v>1.1000000000000001</v>
          </cell>
        </row>
        <row r="23">
          <cell r="B23" t="str">
            <v>Interceptações</v>
          </cell>
          <cell r="M23">
            <v>7.6</v>
          </cell>
        </row>
        <row r="24">
          <cell r="B24" t="str">
            <v>Laterais cobrados</v>
          </cell>
          <cell r="M24">
            <v>18.100000000000001</v>
          </cell>
        </row>
        <row r="25">
          <cell r="B25" t="str">
            <v>Passes completos</v>
          </cell>
          <cell r="M25">
            <v>517.29999999999995</v>
          </cell>
        </row>
        <row r="26">
          <cell r="B26" t="str">
            <v>Passes decisivos</v>
          </cell>
          <cell r="M26">
            <v>15.1</v>
          </cell>
        </row>
        <row r="27">
          <cell r="B27" t="str">
            <v>Passes no campo adversário</v>
          </cell>
          <cell r="M27">
            <v>392.6</v>
          </cell>
        </row>
        <row r="28">
          <cell r="B28" t="str">
            <v>Passes no próprio campo</v>
          </cell>
          <cell r="M28">
            <v>203.6</v>
          </cell>
        </row>
        <row r="29">
          <cell r="B29" t="str">
            <v>Passes no último terço</v>
          </cell>
          <cell r="M29">
            <v>175.6</v>
          </cell>
        </row>
        <row r="30">
          <cell r="B30" t="str">
            <v>Passes para trás</v>
          </cell>
          <cell r="M30">
            <v>93.8</v>
          </cell>
        </row>
        <row r="31">
          <cell r="B31" t="str">
            <v>Perigo afastado</v>
          </cell>
          <cell r="M31">
            <v>14.2</v>
          </cell>
        </row>
        <row r="32">
          <cell r="B32" t="str">
            <v>Posse de Bola</v>
          </cell>
          <cell r="M32">
            <v>0.621</v>
          </cell>
        </row>
        <row r="33">
          <cell r="B33" t="str">
            <v>Posse de bola perdida</v>
          </cell>
          <cell r="M33">
            <v>113.1</v>
          </cell>
        </row>
        <row r="34">
          <cell r="B34" t="str">
            <v>Posse recuperada no terço final</v>
          </cell>
          <cell r="M34">
            <v>4.5999999999999996</v>
          </cell>
        </row>
        <row r="35">
          <cell r="B35" t="str">
            <v>Tiros de meta</v>
          </cell>
          <cell r="M35">
            <v>5.3</v>
          </cell>
        </row>
        <row r="36">
          <cell r="B36" t="str">
            <v>Total de chutes</v>
          </cell>
          <cell r="M36">
            <v>19.100000000000001</v>
          </cell>
        </row>
        <row r="37">
          <cell r="B37" t="str">
            <v>Trave</v>
          </cell>
          <cell r="M37">
            <v>0.7</v>
          </cell>
        </row>
        <row r="38">
          <cell r="B38" t="str">
            <v>xG sofridos (xGC)</v>
          </cell>
          <cell r="M38">
            <v>1.2</v>
          </cell>
        </row>
      </sheetData>
      <sheetData sheetId="22">
        <row r="2">
          <cell r="B2" t="str">
            <v>Assistência esperada (xA)</v>
          </cell>
          <cell r="M2">
            <v>0.35250000000000004</v>
          </cell>
        </row>
        <row r="3">
          <cell r="B3" t="str">
            <v>Ataque</v>
          </cell>
          <cell r="M3">
            <v>83.6</v>
          </cell>
        </row>
        <row r="4">
          <cell r="B4" t="str">
            <v>Cartões amarelos</v>
          </cell>
          <cell r="M4">
            <v>1.3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0.25</v>
          </cell>
        </row>
        <row r="7">
          <cell r="B7" t="str">
            <v>Chutes bloqueados</v>
          </cell>
          <cell r="M7">
            <v>2.2000000000000002</v>
          </cell>
        </row>
        <row r="8">
          <cell r="B8" t="str">
            <v>Chutes dentro da área</v>
          </cell>
          <cell r="M8">
            <v>4.5</v>
          </cell>
        </row>
        <row r="9">
          <cell r="B9" t="str">
            <v>Chutes fora da área</v>
          </cell>
          <cell r="M9">
            <v>2</v>
          </cell>
        </row>
        <row r="10">
          <cell r="B10" t="str">
            <v>Chutes no gol</v>
          </cell>
          <cell r="M10">
            <v>3.6666666666666665</v>
          </cell>
        </row>
        <row r="11">
          <cell r="B11" t="str">
            <v>Chutes para fora</v>
          </cell>
          <cell r="M11">
            <v>4</v>
          </cell>
        </row>
        <row r="12">
          <cell r="B12" t="str">
            <v>Defesas do goleiro</v>
          </cell>
          <cell r="M12">
            <v>3</v>
          </cell>
        </row>
        <row r="13">
          <cell r="B13" t="str">
            <v>Driblado</v>
          </cell>
          <cell r="M13">
            <v>6.5</v>
          </cell>
        </row>
        <row r="14">
          <cell r="B14" t="str">
            <v>Duelos ganhos</v>
          </cell>
          <cell r="M14">
            <v>40.25</v>
          </cell>
        </row>
        <row r="15">
          <cell r="B15" t="str">
            <v>Escanteios</v>
          </cell>
          <cell r="M15">
            <v>4.5</v>
          </cell>
        </row>
        <row r="16">
          <cell r="B16" t="str">
            <v>Faltas</v>
          </cell>
          <cell r="M16">
            <v>10.25</v>
          </cell>
        </row>
        <row r="17">
          <cell r="B17" t="str">
            <v>Faltas sofridas</v>
          </cell>
          <cell r="M17">
            <v>12.25</v>
          </cell>
        </row>
        <row r="18">
          <cell r="B18" t="str">
            <v>Gol sofrido devido a erro individual</v>
          </cell>
          <cell r="M18">
            <v>1</v>
          </cell>
        </row>
        <row r="19">
          <cell r="B19" t="str">
            <v>Gols esperados (xG)</v>
          </cell>
          <cell r="M19">
            <v>0.4425</v>
          </cell>
        </row>
        <row r="20">
          <cell r="B20" t="str">
            <v>Gols esperados em chutes no alvo</v>
          </cell>
          <cell r="M20">
            <v>0.45250000000000001</v>
          </cell>
        </row>
        <row r="21">
          <cell r="B21" t="str">
            <v>Grandes chances perdidas</v>
          </cell>
          <cell r="M21">
            <v>0</v>
          </cell>
        </row>
        <row r="22">
          <cell r="B22" t="str">
            <v>Impedimentos</v>
          </cell>
          <cell r="M22">
            <v>2.4</v>
          </cell>
        </row>
        <row r="23">
          <cell r="B23" t="str">
            <v>Interceptações</v>
          </cell>
          <cell r="M23">
            <v>13</v>
          </cell>
        </row>
        <row r="24">
          <cell r="B24" t="str">
            <v>Laterais cobrados</v>
          </cell>
          <cell r="M24">
            <v>14.2</v>
          </cell>
        </row>
        <row r="25">
          <cell r="B25" t="str">
            <v>Passes completos</v>
          </cell>
          <cell r="M25">
            <v>305.75</v>
          </cell>
        </row>
        <row r="26">
          <cell r="B26" t="str">
            <v>Passes decisivos</v>
          </cell>
          <cell r="M26">
            <v>4.5</v>
          </cell>
        </row>
        <row r="27">
          <cell r="B27" t="str">
            <v>Passes no campo adversário</v>
          </cell>
          <cell r="M27">
            <v>145.75</v>
          </cell>
        </row>
        <row r="28">
          <cell r="B28" t="str">
            <v>Passes no próprio campo</v>
          </cell>
          <cell r="M28">
            <v>233.5</v>
          </cell>
        </row>
        <row r="29">
          <cell r="B29" t="str">
            <v>Passes no último terço</v>
          </cell>
          <cell r="M29">
            <v>33.25</v>
          </cell>
        </row>
        <row r="30">
          <cell r="B30" t="str">
            <v>Passes para trás</v>
          </cell>
          <cell r="M30">
            <v>65</v>
          </cell>
        </row>
        <row r="31">
          <cell r="B31" t="str">
            <v>Perigo afastado</v>
          </cell>
          <cell r="M31">
            <v>21.25</v>
          </cell>
        </row>
        <row r="32">
          <cell r="B32" t="str">
            <v>Posse de Bola</v>
          </cell>
          <cell r="M32">
            <v>0.51600000000000001</v>
          </cell>
        </row>
        <row r="33">
          <cell r="B33" t="str">
            <v>Posse de bola perdida</v>
          </cell>
          <cell r="M33">
            <v>104.25</v>
          </cell>
        </row>
        <row r="34">
          <cell r="B34" t="str">
            <v>Posse recuperada no terço final</v>
          </cell>
          <cell r="M34">
            <v>1.25</v>
          </cell>
        </row>
        <row r="35">
          <cell r="B35" t="str">
            <v>Tiros de meta</v>
          </cell>
          <cell r="M35">
            <v>7.1</v>
          </cell>
        </row>
        <row r="36">
          <cell r="B36" t="str">
            <v>Total de chutes</v>
          </cell>
          <cell r="M36">
            <v>6.5</v>
          </cell>
        </row>
        <row r="37">
          <cell r="B37" t="str">
            <v>Trave</v>
          </cell>
          <cell r="M37">
            <v>0.4</v>
          </cell>
        </row>
        <row r="38">
          <cell r="B38" t="str">
            <v>xG sofridos (xGC)</v>
          </cell>
          <cell r="M38">
            <v>1.9224999999999999</v>
          </cell>
        </row>
      </sheetData>
      <sheetData sheetId="23">
        <row r="2">
          <cell r="B2" t="str">
            <v>Ataque</v>
          </cell>
          <cell r="M2">
            <v>65.5</v>
          </cell>
        </row>
        <row r="3">
          <cell r="B3" t="str">
            <v>Cartões amarelos</v>
          </cell>
          <cell r="M3">
            <v>1.8</v>
          </cell>
        </row>
        <row r="4">
          <cell r="B4" t="str">
            <v>Cartões vermelhos</v>
          </cell>
          <cell r="M4">
            <v>0.2</v>
          </cell>
        </row>
        <row r="5">
          <cell r="B5" t="str">
            <v>Chances perigosas criadas</v>
          </cell>
          <cell r="M5">
            <v>1.5</v>
          </cell>
        </row>
        <row r="6">
          <cell r="B6" t="str">
            <v>Chutes bloqueados</v>
          </cell>
          <cell r="M6">
            <v>2.6666666666666665</v>
          </cell>
        </row>
        <row r="7">
          <cell r="B7" t="str">
            <v>Chutes dentro da área</v>
          </cell>
          <cell r="M7">
            <v>5.5</v>
          </cell>
        </row>
        <row r="8">
          <cell r="B8" t="str">
            <v>Chutes fora da área</v>
          </cell>
          <cell r="M8">
            <v>4.625</v>
          </cell>
        </row>
        <row r="9">
          <cell r="B9" t="str">
            <v>Chutes no gol</v>
          </cell>
          <cell r="M9">
            <v>3.5</v>
          </cell>
        </row>
        <row r="10">
          <cell r="B10" t="str">
            <v>Chutes para fora</v>
          </cell>
          <cell r="M10">
            <v>4</v>
          </cell>
        </row>
        <row r="11">
          <cell r="B11" t="str">
            <v>Defesas do goleiro</v>
          </cell>
          <cell r="M11">
            <v>3.375</v>
          </cell>
        </row>
        <row r="12">
          <cell r="B12" t="str">
            <v>Driblado</v>
          </cell>
          <cell r="M12">
            <v>6.25</v>
          </cell>
        </row>
        <row r="13">
          <cell r="B13" t="str">
            <v>Duelos ganhos</v>
          </cell>
          <cell r="M13">
            <v>38.25</v>
          </cell>
        </row>
        <row r="14">
          <cell r="B14" t="str">
            <v>Escanteios</v>
          </cell>
          <cell r="M14">
            <v>3.7</v>
          </cell>
        </row>
        <row r="15">
          <cell r="B15" t="str">
            <v>Faltas</v>
          </cell>
          <cell r="M15">
            <v>13.125</v>
          </cell>
        </row>
        <row r="16">
          <cell r="B16" t="str">
            <v>Faltas sofridas</v>
          </cell>
          <cell r="M16">
            <v>9.875</v>
          </cell>
        </row>
        <row r="17">
          <cell r="B17" t="str">
            <v>Gol sofrido devido a erro individual</v>
          </cell>
          <cell r="M17">
            <v>0.5</v>
          </cell>
        </row>
        <row r="18">
          <cell r="B18" t="str">
            <v>Grandes chances perdidas</v>
          </cell>
          <cell r="M18">
            <v>0.75</v>
          </cell>
        </row>
        <row r="19">
          <cell r="B19" t="str">
            <v>Impedimentos</v>
          </cell>
          <cell r="M19">
            <v>1</v>
          </cell>
        </row>
        <row r="20">
          <cell r="B20" t="str">
            <v>Interceptações</v>
          </cell>
          <cell r="M20">
            <v>7.5</v>
          </cell>
        </row>
        <row r="21">
          <cell r="B21" t="str">
            <v>Laterais cobrados</v>
          </cell>
          <cell r="M21">
            <v>17.7</v>
          </cell>
        </row>
        <row r="22">
          <cell r="B22" t="str">
            <v>Passes completos</v>
          </cell>
          <cell r="M22">
            <v>256.5</v>
          </cell>
        </row>
        <row r="23">
          <cell r="B23" t="str">
            <v>Passes decisivos</v>
          </cell>
          <cell r="M23">
            <v>5.875</v>
          </cell>
        </row>
        <row r="24">
          <cell r="B24" t="str">
            <v>Passes no campo adversário</v>
          </cell>
          <cell r="M24">
            <v>170.5</v>
          </cell>
        </row>
        <row r="25">
          <cell r="B25" t="str">
            <v>Passes no próprio campo</v>
          </cell>
          <cell r="M25">
            <v>163</v>
          </cell>
        </row>
        <row r="26">
          <cell r="B26" t="str">
            <v>Passes no último terço</v>
          </cell>
          <cell r="M26">
            <v>57.25</v>
          </cell>
        </row>
        <row r="27">
          <cell r="B27" t="str">
            <v>Passes para trás</v>
          </cell>
          <cell r="M27">
            <v>50.375</v>
          </cell>
        </row>
        <row r="28">
          <cell r="B28" t="str">
            <v>Perigo afastado</v>
          </cell>
          <cell r="M28">
            <v>18.75</v>
          </cell>
        </row>
        <row r="29">
          <cell r="B29" t="str">
            <v>Posse de Bola</v>
          </cell>
          <cell r="M29">
            <v>0.48299999999999998</v>
          </cell>
        </row>
        <row r="30">
          <cell r="B30" t="str">
            <v>Posse de bola perdida</v>
          </cell>
          <cell r="M30">
            <v>108.125</v>
          </cell>
        </row>
        <row r="31">
          <cell r="B31" t="str">
            <v>Posse recuperada no terço final</v>
          </cell>
          <cell r="M31">
            <v>3.125</v>
          </cell>
        </row>
        <row r="32">
          <cell r="B32" t="str">
            <v>Tiros de meta</v>
          </cell>
          <cell r="M32">
            <v>6.2</v>
          </cell>
        </row>
        <row r="33">
          <cell r="B33" t="str">
            <v>Total de chutes</v>
          </cell>
          <cell r="M33">
            <v>9.9</v>
          </cell>
        </row>
        <row r="34">
          <cell r="B34" t="str">
            <v>Trave</v>
          </cell>
          <cell r="M34">
            <v>0</v>
          </cell>
        </row>
      </sheetData>
      <sheetData sheetId="24">
        <row r="2">
          <cell r="B2" t="str">
            <v>Assistência esperada (xA)</v>
          </cell>
          <cell r="M2">
            <v>1.673</v>
          </cell>
        </row>
        <row r="3">
          <cell r="B3" t="str">
            <v>Ataque</v>
          </cell>
          <cell r="M3">
            <v>99.8</v>
          </cell>
        </row>
        <row r="4">
          <cell r="B4" t="str">
            <v>Cartões amarelos</v>
          </cell>
          <cell r="M4">
            <v>0.6</v>
          </cell>
        </row>
        <row r="5">
          <cell r="B5" t="str">
            <v>Cartões vermelhos</v>
          </cell>
          <cell r="M5">
            <v>0.1</v>
          </cell>
        </row>
        <row r="6">
          <cell r="B6" t="str">
            <v>Chances perigosas criadas</v>
          </cell>
          <cell r="M6">
            <v>3.9</v>
          </cell>
        </row>
        <row r="7">
          <cell r="B7" t="str">
            <v>Chutes bloqueados</v>
          </cell>
          <cell r="M7">
            <v>4.2</v>
          </cell>
        </row>
        <row r="8">
          <cell r="B8" t="str">
            <v>Chutes dentro da área</v>
          </cell>
          <cell r="M8">
            <v>11.4</v>
          </cell>
        </row>
        <row r="9">
          <cell r="B9" t="str">
            <v>Chutes fora da área</v>
          </cell>
          <cell r="M9">
            <v>4.0999999999999996</v>
          </cell>
        </row>
        <row r="10">
          <cell r="B10" t="str">
            <v>Chutes no gol</v>
          </cell>
          <cell r="M10">
            <v>5.8</v>
          </cell>
        </row>
        <row r="11">
          <cell r="B11" t="str">
            <v>Chutes para fora</v>
          </cell>
          <cell r="M11">
            <v>5.5</v>
          </cell>
        </row>
        <row r="12">
          <cell r="B12" t="str">
            <v>Defesas do goleiro</v>
          </cell>
          <cell r="M12">
            <v>1.7</v>
          </cell>
        </row>
        <row r="13">
          <cell r="B13" t="str">
            <v>Driblado</v>
          </cell>
          <cell r="M13">
            <v>6.6</v>
          </cell>
        </row>
        <row r="14">
          <cell r="B14" t="str">
            <v>Duelos ganhos</v>
          </cell>
          <cell r="M14">
            <v>41.4</v>
          </cell>
        </row>
        <row r="15">
          <cell r="B15" t="str">
            <v>Escanteios</v>
          </cell>
          <cell r="M15">
            <v>6.2</v>
          </cell>
        </row>
        <row r="16">
          <cell r="B16" t="str">
            <v>Faltas</v>
          </cell>
          <cell r="M16">
            <v>9.6999999999999993</v>
          </cell>
        </row>
        <row r="17">
          <cell r="B17" t="str">
            <v>Faltas sofridas</v>
          </cell>
          <cell r="M17">
            <v>11.5</v>
          </cell>
        </row>
        <row r="18">
          <cell r="B18" t="str">
            <v>Gol sofrido devido a erro individual</v>
          </cell>
          <cell r="M18">
            <v>0</v>
          </cell>
        </row>
        <row r="19">
          <cell r="B19" t="str">
            <v>Gols esperados (xG)</v>
          </cell>
          <cell r="M19">
            <v>2.0949999999999998</v>
          </cell>
        </row>
        <row r="20">
          <cell r="B20" t="str">
            <v>Gols esperados em chutes no alvo</v>
          </cell>
          <cell r="M20">
            <v>2.3659999999999997</v>
          </cell>
        </row>
        <row r="21">
          <cell r="B21" t="str">
            <v>Grandes chances perdidas</v>
          </cell>
          <cell r="M21">
            <v>2.1111111111111112</v>
          </cell>
        </row>
        <row r="22">
          <cell r="B22" t="str">
            <v>Impedimentos</v>
          </cell>
          <cell r="M22">
            <v>1.9</v>
          </cell>
        </row>
        <row r="23">
          <cell r="B23" t="str">
            <v>Interceptações</v>
          </cell>
          <cell r="M23">
            <v>6.8</v>
          </cell>
        </row>
        <row r="24">
          <cell r="B24" t="str">
            <v>Laterais cobrados</v>
          </cell>
          <cell r="M24">
            <v>14.9</v>
          </cell>
        </row>
        <row r="25">
          <cell r="B25" t="str">
            <v>Passes completos</v>
          </cell>
          <cell r="M25">
            <v>511.4</v>
          </cell>
        </row>
        <row r="26">
          <cell r="B26" t="str">
            <v>Passes decisivos</v>
          </cell>
          <cell r="M26">
            <v>12.6</v>
          </cell>
        </row>
        <row r="27">
          <cell r="B27" t="str">
            <v>Passes no campo adversário</v>
          </cell>
          <cell r="M27">
            <v>388</v>
          </cell>
        </row>
        <row r="28">
          <cell r="B28" t="str">
            <v>Passes no próprio campo</v>
          </cell>
          <cell r="M28">
            <v>201.7</v>
          </cell>
        </row>
        <row r="29">
          <cell r="B29" t="str">
            <v>Passes no último terço</v>
          </cell>
          <cell r="M29">
            <v>160.4</v>
          </cell>
        </row>
        <row r="30">
          <cell r="B30" t="str">
            <v>Passes para trás</v>
          </cell>
          <cell r="M30">
            <v>92.2</v>
          </cell>
        </row>
        <row r="31">
          <cell r="B31" t="str">
            <v>Perigo afastado</v>
          </cell>
          <cell r="M31">
            <v>14.5</v>
          </cell>
        </row>
        <row r="32">
          <cell r="B32" t="str">
            <v>Posse de Bola</v>
          </cell>
          <cell r="M32">
            <v>0.61</v>
          </cell>
        </row>
        <row r="33">
          <cell r="B33" t="str">
            <v>Posse de bola perdida</v>
          </cell>
          <cell r="M33">
            <v>105.7</v>
          </cell>
        </row>
        <row r="34">
          <cell r="B34" t="str">
            <v>Posse recuperada no terço final</v>
          </cell>
          <cell r="M34">
            <v>6</v>
          </cell>
        </row>
        <row r="35">
          <cell r="B35" t="str">
            <v>Tiros de meta</v>
          </cell>
          <cell r="M35">
            <v>4.7</v>
          </cell>
        </row>
        <row r="36">
          <cell r="B36" t="str">
            <v>Total de chutes</v>
          </cell>
          <cell r="M36">
            <v>15.5</v>
          </cell>
        </row>
        <row r="37">
          <cell r="B37" t="str">
            <v>Trave</v>
          </cell>
          <cell r="M37">
            <v>0.6</v>
          </cell>
        </row>
        <row r="38">
          <cell r="B38" t="str">
            <v>xG sofridos (xGC)</v>
          </cell>
          <cell r="M38">
            <v>0.69300000000000006</v>
          </cell>
        </row>
      </sheetData>
      <sheetData sheetId="25">
        <row r="2">
          <cell r="B2" t="str">
            <v>Assistência esperada (xA)</v>
          </cell>
          <cell r="M2">
            <v>1.595</v>
          </cell>
        </row>
        <row r="3">
          <cell r="B3" t="str">
            <v>Ataque</v>
          </cell>
          <cell r="M3">
            <v>112.9</v>
          </cell>
        </row>
        <row r="4">
          <cell r="B4" t="str">
            <v>Cartões amarelos</v>
          </cell>
          <cell r="M4">
            <v>1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3.3</v>
          </cell>
        </row>
        <row r="7">
          <cell r="B7" t="str">
            <v>Chutes bloqueados</v>
          </cell>
          <cell r="M7">
            <v>5.0999999999999996</v>
          </cell>
        </row>
        <row r="8">
          <cell r="B8" t="str">
            <v>Chutes dentro da área</v>
          </cell>
          <cell r="M8">
            <v>11.5</v>
          </cell>
        </row>
        <row r="9">
          <cell r="B9" t="str">
            <v>Chutes fora da área</v>
          </cell>
          <cell r="M9">
            <v>5.3</v>
          </cell>
        </row>
        <row r="10">
          <cell r="B10" t="str">
            <v>Chutes no gol</v>
          </cell>
          <cell r="M10">
            <v>6.7</v>
          </cell>
        </row>
        <row r="11">
          <cell r="B11" t="str">
            <v>Chutes para fora</v>
          </cell>
          <cell r="M11">
            <v>5.2</v>
          </cell>
        </row>
        <row r="12">
          <cell r="B12" t="str">
            <v>Defesas do goleiro</v>
          </cell>
          <cell r="M12">
            <v>1.4</v>
          </cell>
        </row>
        <row r="13">
          <cell r="B13" t="str">
            <v>Driblado</v>
          </cell>
          <cell r="M13">
            <v>8</v>
          </cell>
        </row>
        <row r="14">
          <cell r="B14" t="str">
            <v>Duelos ganhos</v>
          </cell>
          <cell r="M14">
            <v>41.3</v>
          </cell>
        </row>
        <row r="15">
          <cell r="B15" t="str">
            <v>Escanteios</v>
          </cell>
          <cell r="M15">
            <v>7.7</v>
          </cell>
        </row>
        <row r="16">
          <cell r="B16" t="str">
            <v>Faltas</v>
          </cell>
          <cell r="M16">
            <v>9.1999999999999993</v>
          </cell>
        </row>
        <row r="17">
          <cell r="B17" t="str">
            <v>Faltas sofridas</v>
          </cell>
          <cell r="M17">
            <v>10.9</v>
          </cell>
        </row>
        <row r="18">
          <cell r="B18" t="str">
            <v>Gol sofrido devido a erro individual</v>
          </cell>
          <cell r="M18">
            <v>0.5</v>
          </cell>
        </row>
        <row r="19">
          <cell r="B19" t="str">
            <v>Gols esperados (xG)</v>
          </cell>
          <cell r="M19">
            <v>2.2490000000000001</v>
          </cell>
        </row>
        <row r="20">
          <cell r="B20" t="str">
            <v>Gols esperados em chutes no alvo</v>
          </cell>
          <cell r="M20">
            <v>2.415</v>
          </cell>
        </row>
        <row r="21">
          <cell r="B21" t="str">
            <v>Grandes chances perdidas</v>
          </cell>
          <cell r="M21">
            <v>2.1111111111111112</v>
          </cell>
        </row>
        <row r="22">
          <cell r="B22" t="str">
            <v>Impedimentos</v>
          </cell>
          <cell r="M22">
            <v>1.7</v>
          </cell>
        </row>
        <row r="23">
          <cell r="B23" t="str">
            <v>Interceptações</v>
          </cell>
          <cell r="M23">
            <v>6.1</v>
          </cell>
        </row>
        <row r="24">
          <cell r="B24" t="str">
            <v>Laterais cobrados</v>
          </cell>
          <cell r="M24">
            <v>15.1</v>
          </cell>
        </row>
        <row r="25">
          <cell r="B25" t="str">
            <v>Passes completos</v>
          </cell>
          <cell r="M25">
            <v>598.4</v>
          </cell>
        </row>
        <row r="26">
          <cell r="B26" t="str">
            <v>Passes decisivos</v>
          </cell>
          <cell r="M26">
            <v>13.3</v>
          </cell>
        </row>
        <row r="27">
          <cell r="B27" t="str">
            <v>Passes no campo adversário</v>
          </cell>
          <cell r="M27">
            <v>445.4</v>
          </cell>
        </row>
        <row r="28">
          <cell r="B28" t="str">
            <v>Passes no próprio campo</v>
          </cell>
          <cell r="M28">
            <v>233</v>
          </cell>
        </row>
        <row r="29">
          <cell r="B29" t="str">
            <v>Passes no último terço</v>
          </cell>
          <cell r="M29">
            <v>181</v>
          </cell>
        </row>
        <row r="30">
          <cell r="B30" t="str">
            <v>Passes para trás</v>
          </cell>
          <cell r="M30">
            <v>105.2</v>
          </cell>
        </row>
        <row r="31">
          <cell r="B31" t="str">
            <v>Perigo afastado</v>
          </cell>
          <cell r="M31">
            <v>10.8</v>
          </cell>
        </row>
        <row r="32">
          <cell r="B32" t="str">
            <v>Posse de Bola</v>
          </cell>
          <cell r="M32">
            <v>0.69699999999999995</v>
          </cell>
        </row>
        <row r="33">
          <cell r="B33" t="str">
            <v>Posse de bola perdida</v>
          </cell>
          <cell r="M33">
            <v>103.6</v>
          </cell>
        </row>
        <row r="34">
          <cell r="B34" t="str">
            <v>Posse recuperada no terço final</v>
          </cell>
          <cell r="M34">
            <v>5.9</v>
          </cell>
        </row>
        <row r="35">
          <cell r="B35" t="str">
            <v>Tiros de meta</v>
          </cell>
          <cell r="M35">
            <v>3.4</v>
          </cell>
        </row>
        <row r="36">
          <cell r="B36" t="str">
            <v>Total de chutes</v>
          </cell>
          <cell r="M36">
            <v>16.899999999999999</v>
          </cell>
        </row>
        <row r="37">
          <cell r="B37" t="str">
            <v>Trave</v>
          </cell>
          <cell r="M37">
            <v>0.4</v>
          </cell>
        </row>
        <row r="38">
          <cell r="B38" t="str">
            <v>xG sofridos (xGC)</v>
          </cell>
          <cell r="M38">
            <v>0.60399999999999998</v>
          </cell>
        </row>
      </sheetData>
      <sheetData sheetId="26">
        <row r="2">
          <cell r="B2" t="str">
            <v>Assistência esperada (xA)</v>
          </cell>
          <cell r="M2">
            <v>0.35</v>
          </cell>
        </row>
        <row r="3">
          <cell r="B3" t="str">
            <v>Ataque</v>
          </cell>
          <cell r="M3">
            <v>60.333333333333336</v>
          </cell>
        </row>
        <row r="4">
          <cell r="B4" t="str">
            <v>Cartões amarelos</v>
          </cell>
          <cell r="M4">
            <v>1.5</v>
          </cell>
        </row>
        <row r="5">
          <cell r="B5" t="str">
            <v>Cartões vermelhos</v>
          </cell>
          <cell r="M5">
            <v>0.4</v>
          </cell>
        </row>
        <row r="6">
          <cell r="B6" t="str">
            <v>Chances perigosas criadas</v>
          </cell>
          <cell r="M6">
            <v>1.5</v>
          </cell>
        </row>
        <row r="7">
          <cell r="B7" t="str">
            <v>Chutes bloqueados</v>
          </cell>
          <cell r="M7">
            <v>3.3</v>
          </cell>
        </row>
        <row r="8">
          <cell r="B8" t="str">
            <v>Chutes dentro da área</v>
          </cell>
          <cell r="M8">
            <v>5.333333333333333</v>
          </cell>
        </row>
        <row r="9">
          <cell r="B9" t="str">
            <v>Chutes fora da área</v>
          </cell>
          <cell r="M9">
            <v>3.3333333333333335</v>
          </cell>
        </row>
        <row r="10">
          <cell r="B10" t="str">
            <v>Chutes no gol</v>
          </cell>
          <cell r="M10">
            <v>2.5</v>
          </cell>
        </row>
        <row r="11">
          <cell r="B11" t="str">
            <v>Chutes para fora</v>
          </cell>
          <cell r="M11">
            <v>3.6</v>
          </cell>
        </row>
        <row r="12">
          <cell r="B12" t="str">
            <v>Defesas do goleiro</v>
          </cell>
          <cell r="M12">
            <v>3.3333333333333335</v>
          </cell>
        </row>
        <row r="13">
          <cell r="B13" t="str">
            <v>Driblado</v>
          </cell>
          <cell r="M13">
            <v>7.166666666666667</v>
          </cell>
        </row>
        <row r="14">
          <cell r="B14" t="str">
            <v>Duelos ganhos</v>
          </cell>
          <cell r="M14">
            <v>49.166666666666664</v>
          </cell>
        </row>
        <row r="15">
          <cell r="B15" t="str">
            <v>Escanteios</v>
          </cell>
          <cell r="M15">
            <v>4.2</v>
          </cell>
        </row>
        <row r="16">
          <cell r="B16" t="str">
            <v>Faltas</v>
          </cell>
          <cell r="M16">
            <v>12.333333333333334</v>
          </cell>
        </row>
        <row r="17">
          <cell r="B17" t="str">
            <v>Faltas sofridas</v>
          </cell>
          <cell r="M17">
            <v>12.5</v>
          </cell>
        </row>
        <row r="18">
          <cell r="B18" t="str">
            <v>Gols esperados (xG)</v>
          </cell>
          <cell r="M18">
            <v>0.6399999999999999</v>
          </cell>
        </row>
        <row r="19">
          <cell r="B19" t="str">
            <v>Gols esperados em chutes no alvo</v>
          </cell>
          <cell r="M19">
            <v>0.66749999999999998</v>
          </cell>
        </row>
        <row r="20">
          <cell r="B20" t="str">
            <v>Grandes chances perdidas</v>
          </cell>
          <cell r="M20">
            <v>0.66666666666666663</v>
          </cell>
        </row>
        <row r="21">
          <cell r="B21" t="str">
            <v>Impedimentos</v>
          </cell>
          <cell r="M21">
            <v>1</v>
          </cell>
        </row>
        <row r="22">
          <cell r="B22" t="str">
            <v>Interceptações</v>
          </cell>
          <cell r="M22">
            <v>6</v>
          </cell>
        </row>
        <row r="23">
          <cell r="B23" t="str">
            <v>Laterais cobrados</v>
          </cell>
          <cell r="M23">
            <v>17.399999999999999</v>
          </cell>
        </row>
        <row r="24">
          <cell r="B24" t="str">
            <v>Passes completos</v>
          </cell>
          <cell r="M24">
            <v>244</v>
          </cell>
        </row>
        <row r="25">
          <cell r="B25" t="str">
            <v>Passes decisivos</v>
          </cell>
          <cell r="M25">
            <v>6</v>
          </cell>
        </row>
        <row r="26">
          <cell r="B26" t="str">
            <v>Passes no campo adversário</v>
          </cell>
          <cell r="M26">
            <v>175.83333333333334</v>
          </cell>
        </row>
        <row r="27">
          <cell r="B27" t="str">
            <v>Passes no próprio campo</v>
          </cell>
          <cell r="M27">
            <v>155.33333333333334</v>
          </cell>
        </row>
        <row r="28">
          <cell r="B28" t="str">
            <v>Passes no último terço</v>
          </cell>
          <cell r="M28">
            <v>49.5</v>
          </cell>
        </row>
        <row r="29">
          <cell r="B29" t="str">
            <v>Passes para trás</v>
          </cell>
          <cell r="M29">
            <v>48.833333333333336</v>
          </cell>
        </row>
        <row r="30">
          <cell r="B30" t="str">
            <v>Perigo afastado</v>
          </cell>
          <cell r="M30">
            <v>29.333333333333332</v>
          </cell>
        </row>
        <row r="31">
          <cell r="B31" t="str">
            <v>Posse de Bola</v>
          </cell>
          <cell r="M31">
            <v>0.45200000000000007</v>
          </cell>
        </row>
        <row r="32">
          <cell r="B32" t="str">
            <v>Posse de bola perdida</v>
          </cell>
          <cell r="M32">
            <v>123</v>
          </cell>
        </row>
        <row r="33">
          <cell r="B33" t="str">
            <v>Posse recuperada no terço final</v>
          </cell>
          <cell r="M33">
            <v>1</v>
          </cell>
        </row>
        <row r="34">
          <cell r="B34" t="str">
            <v>Tiros de meta</v>
          </cell>
          <cell r="M34">
            <v>8.1</v>
          </cell>
        </row>
        <row r="35">
          <cell r="B35" t="str">
            <v>Total de chutes</v>
          </cell>
          <cell r="M35">
            <v>9.4</v>
          </cell>
        </row>
        <row r="36">
          <cell r="B36" t="str">
            <v>Trave</v>
          </cell>
          <cell r="M36">
            <v>0.22222222222222221</v>
          </cell>
        </row>
        <row r="37">
          <cell r="B37" t="str">
            <v>xG sofridos (xGC)</v>
          </cell>
          <cell r="M37">
            <v>0.93500000000000005</v>
          </cell>
        </row>
      </sheetData>
      <sheetData sheetId="27">
        <row r="2">
          <cell r="B2" t="str">
            <v>Assistência esperada (xA)</v>
          </cell>
          <cell r="J2">
            <v>1.06</v>
          </cell>
        </row>
        <row r="3">
          <cell r="B3" t="str">
            <v>Ataque</v>
          </cell>
          <cell r="J3">
            <v>33.4</v>
          </cell>
        </row>
        <row r="4">
          <cell r="B4" t="str">
            <v>Cartões amarelos</v>
          </cell>
          <cell r="J4">
            <v>1.5714285714285714</v>
          </cell>
        </row>
        <row r="5">
          <cell r="B5" t="str">
            <v>Cartões vermelhos</v>
          </cell>
          <cell r="J5">
            <v>0.14285714285714285</v>
          </cell>
        </row>
        <row r="6">
          <cell r="B6" t="str">
            <v>Chances perigosas criadas</v>
          </cell>
          <cell r="J6">
            <v>2</v>
          </cell>
        </row>
        <row r="7">
          <cell r="B7" t="str">
            <v>Chutes bloqueados</v>
          </cell>
          <cell r="J7">
            <v>1</v>
          </cell>
        </row>
        <row r="8">
          <cell r="B8" t="str">
            <v>Chutes dentro da área</v>
          </cell>
          <cell r="J8">
            <v>4</v>
          </cell>
        </row>
        <row r="9">
          <cell r="B9" t="str">
            <v>Chutes fora da área</v>
          </cell>
          <cell r="J9">
            <v>4</v>
          </cell>
        </row>
        <row r="10">
          <cell r="B10" t="str">
            <v>Chutes no gol</v>
          </cell>
          <cell r="J10">
            <v>4.25</v>
          </cell>
        </row>
        <row r="11">
          <cell r="B11" t="str">
            <v>Chutes para fora</v>
          </cell>
          <cell r="J11">
            <v>2.25</v>
          </cell>
        </row>
        <row r="12">
          <cell r="B12" t="str">
            <v>Defesas do goleiro</v>
          </cell>
          <cell r="J12">
            <v>2</v>
          </cell>
        </row>
        <row r="13">
          <cell r="B13" t="str">
            <v>Driblado</v>
          </cell>
          <cell r="J13">
            <v>3</v>
          </cell>
        </row>
        <row r="14">
          <cell r="B14" t="str">
            <v>Duelos ganhos</v>
          </cell>
          <cell r="J14">
            <v>35</v>
          </cell>
        </row>
        <row r="15">
          <cell r="B15" t="str">
            <v>Escanteios</v>
          </cell>
          <cell r="J15">
            <v>3.2857142857142856</v>
          </cell>
        </row>
        <row r="16">
          <cell r="B16" t="str">
            <v>Faltas</v>
          </cell>
          <cell r="J16">
            <v>16</v>
          </cell>
        </row>
        <row r="17">
          <cell r="B17" t="str">
            <v>Faltas sofridas</v>
          </cell>
          <cell r="J17">
            <v>9</v>
          </cell>
        </row>
        <row r="18">
          <cell r="B18" t="str">
            <v>Gols esperados (xG)</v>
          </cell>
          <cell r="J18">
            <v>1.17</v>
          </cell>
        </row>
        <row r="19">
          <cell r="B19" t="str">
            <v>Gols esperados em chutes no alvo</v>
          </cell>
          <cell r="J19">
            <v>1.1599999999999999</v>
          </cell>
        </row>
        <row r="20">
          <cell r="B20" t="str">
            <v>Grandes chances perdidas</v>
          </cell>
          <cell r="J20">
            <v>1</v>
          </cell>
        </row>
        <row r="21">
          <cell r="B21" t="str">
            <v>Impedimentos</v>
          </cell>
          <cell r="J21">
            <v>1.5714285714285714</v>
          </cell>
        </row>
        <row r="22">
          <cell r="B22" t="str">
            <v>Interceptações</v>
          </cell>
          <cell r="J22">
            <v>11</v>
          </cell>
        </row>
        <row r="23">
          <cell r="B23" t="str">
            <v>Laterais cobrados</v>
          </cell>
          <cell r="J23">
            <v>15.428571428571429</v>
          </cell>
        </row>
        <row r="24">
          <cell r="B24" t="str">
            <v>Passes completos</v>
          </cell>
          <cell r="J24">
            <v>265</v>
          </cell>
        </row>
        <row r="25">
          <cell r="B25" t="str">
            <v>Passes decisivos</v>
          </cell>
          <cell r="J25">
            <v>7</v>
          </cell>
        </row>
        <row r="26">
          <cell r="B26" t="str">
            <v>Passes no campo adversário</v>
          </cell>
          <cell r="J26">
            <v>203</v>
          </cell>
        </row>
        <row r="27">
          <cell r="B27" t="str">
            <v>Passes no próprio campo</v>
          </cell>
          <cell r="J27">
            <v>182</v>
          </cell>
        </row>
        <row r="28">
          <cell r="B28" t="str">
            <v>Passes no último terço</v>
          </cell>
          <cell r="J28">
            <v>39</v>
          </cell>
        </row>
        <row r="29">
          <cell r="B29" t="str">
            <v>Passes para trás</v>
          </cell>
          <cell r="J29">
            <v>58</v>
          </cell>
        </row>
        <row r="30">
          <cell r="B30" t="str">
            <v>Perigo afastado</v>
          </cell>
          <cell r="J30">
            <v>31</v>
          </cell>
        </row>
        <row r="31">
          <cell r="B31" t="str">
            <v>Posse de Bola</v>
          </cell>
          <cell r="J31">
            <v>0.505</v>
          </cell>
        </row>
        <row r="32">
          <cell r="B32" t="str">
            <v>Posse de bola perdida</v>
          </cell>
          <cell r="J32">
            <v>140</v>
          </cell>
        </row>
        <row r="33">
          <cell r="B33" t="str">
            <v>Posse recuperada no terço final</v>
          </cell>
          <cell r="J33">
            <v>3</v>
          </cell>
        </row>
        <row r="34">
          <cell r="B34" t="str">
            <v>Tiros de meta</v>
          </cell>
          <cell r="J34">
            <v>7.1428571428571432</v>
          </cell>
        </row>
        <row r="35">
          <cell r="B35" t="str">
            <v>Total de chutes</v>
          </cell>
          <cell r="J35">
            <v>6.75</v>
          </cell>
        </row>
        <row r="36">
          <cell r="B36" t="str">
            <v>Trave</v>
          </cell>
          <cell r="J36">
            <v>0.5</v>
          </cell>
        </row>
        <row r="37">
          <cell r="B37" t="str">
            <v>xG sofridos (xGC)</v>
          </cell>
          <cell r="J37">
            <v>1.29</v>
          </cell>
        </row>
      </sheetData>
      <sheetData sheetId="28">
        <row r="2">
          <cell r="B2" t="str">
            <v>Assistência esperada (xA)</v>
          </cell>
          <cell r="L2">
            <v>1.08125</v>
          </cell>
        </row>
        <row r="3">
          <cell r="B3" t="str">
            <v>Ataque</v>
          </cell>
          <cell r="L3">
            <v>73</v>
          </cell>
        </row>
        <row r="4">
          <cell r="B4" t="str">
            <v>Cartões amarelos</v>
          </cell>
          <cell r="L4">
            <v>1.4444444444444444</v>
          </cell>
        </row>
        <row r="5">
          <cell r="B5" t="str">
            <v>Cartões vermelhos</v>
          </cell>
          <cell r="L5">
            <v>0</v>
          </cell>
        </row>
        <row r="6">
          <cell r="B6" t="str">
            <v>Chances perigosas criadas</v>
          </cell>
          <cell r="L6">
            <v>1.875</v>
          </cell>
        </row>
        <row r="7">
          <cell r="B7" t="str">
            <v>Chutes bloqueados</v>
          </cell>
          <cell r="L7">
            <v>2.1111111111111112</v>
          </cell>
        </row>
        <row r="8">
          <cell r="B8" t="str">
            <v>Chutes dentro da área</v>
          </cell>
          <cell r="L8">
            <v>8.75</v>
          </cell>
        </row>
        <row r="9">
          <cell r="B9" t="str">
            <v>Chutes fora da área</v>
          </cell>
          <cell r="L9">
            <v>2.875</v>
          </cell>
        </row>
        <row r="10">
          <cell r="B10" t="str">
            <v>Chutes no gol</v>
          </cell>
          <cell r="L10">
            <v>4.5555555555555554</v>
          </cell>
        </row>
        <row r="11">
          <cell r="B11" t="str">
            <v>Chutes para fora</v>
          </cell>
          <cell r="L11">
            <v>4.1111111111111107</v>
          </cell>
        </row>
        <row r="12">
          <cell r="B12" t="str">
            <v>Defesas do goleiro</v>
          </cell>
          <cell r="L12">
            <v>2.5</v>
          </cell>
        </row>
        <row r="13">
          <cell r="B13" t="str">
            <v>Driblado</v>
          </cell>
          <cell r="L13">
            <v>7.5</v>
          </cell>
        </row>
        <row r="14">
          <cell r="B14" t="str">
            <v>Duelos ganhos</v>
          </cell>
          <cell r="L14">
            <v>44.75</v>
          </cell>
        </row>
        <row r="15">
          <cell r="B15" t="str">
            <v>Escanteios</v>
          </cell>
          <cell r="L15">
            <v>3.8888888888888888</v>
          </cell>
        </row>
        <row r="16">
          <cell r="B16" t="str">
            <v>Faltas</v>
          </cell>
          <cell r="L16">
            <v>14.875</v>
          </cell>
        </row>
        <row r="17">
          <cell r="B17" t="str">
            <v>Faltas sofridas</v>
          </cell>
          <cell r="L17">
            <v>9.875</v>
          </cell>
        </row>
        <row r="18">
          <cell r="B18" t="str">
            <v>Gol sofrido devido a erro individual</v>
          </cell>
          <cell r="L18">
            <v>0.33333333333333331</v>
          </cell>
        </row>
        <row r="19">
          <cell r="B19" t="str">
            <v>Gols esperados (xG)</v>
          </cell>
          <cell r="L19">
            <v>1.3975000000000002</v>
          </cell>
        </row>
        <row r="20">
          <cell r="B20" t="str">
            <v>Gols esperados em chutes no alvo</v>
          </cell>
          <cell r="L20">
            <v>1.3774999999999999</v>
          </cell>
        </row>
        <row r="21">
          <cell r="B21" t="str">
            <v>Grandes chances perdidas</v>
          </cell>
          <cell r="L21">
            <v>1.5</v>
          </cell>
        </row>
        <row r="22">
          <cell r="B22" t="str">
            <v>Impedimentos</v>
          </cell>
          <cell r="L22">
            <v>1.3333333333333333</v>
          </cell>
        </row>
        <row r="23">
          <cell r="B23" t="str">
            <v>Interceptações</v>
          </cell>
          <cell r="L23">
            <v>11</v>
          </cell>
        </row>
        <row r="24">
          <cell r="B24" t="str">
            <v>Laterais cobrados</v>
          </cell>
          <cell r="L24">
            <v>14.888888888888889</v>
          </cell>
        </row>
        <row r="25">
          <cell r="B25" t="str">
            <v>Passes completos</v>
          </cell>
          <cell r="L25">
            <v>376</v>
          </cell>
        </row>
        <row r="26">
          <cell r="B26" t="str">
            <v>Passes decisivos</v>
          </cell>
          <cell r="L26">
            <v>10.375</v>
          </cell>
        </row>
        <row r="27">
          <cell r="B27" t="str">
            <v>Passes no campo adversário</v>
          </cell>
          <cell r="L27">
            <v>242.75</v>
          </cell>
        </row>
        <row r="28">
          <cell r="B28" t="str">
            <v>Passes no próprio campo</v>
          </cell>
          <cell r="L28">
            <v>215</v>
          </cell>
        </row>
        <row r="29">
          <cell r="B29" t="str">
            <v>Passes no último terço</v>
          </cell>
          <cell r="L29">
            <v>80.375</v>
          </cell>
        </row>
        <row r="30">
          <cell r="B30" t="str">
            <v>Passes para trás</v>
          </cell>
          <cell r="L30">
            <v>72.25</v>
          </cell>
        </row>
        <row r="31">
          <cell r="B31" t="str">
            <v>Perigo afastado</v>
          </cell>
          <cell r="L31">
            <v>17.5</v>
          </cell>
        </row>
        <row r="32">
          <cell r="B32" t="str">
            <v>Posse de Bola</v>
          </cell>
          <cell r="L32">
            <v>0.4555555555555556</v>
          </cell>
        </row>
        <row r="33">
          <cell r="B33" t="str">
            <v>Posse de bola perdida</v>
          </cell>
          <cell r="L33">
            <v>109.125</v>
          </cell>
        </row>
        <row r="34">
          <cell r="B34" t="str">
            <v>Posse recuperada no terço final</v>
          </cell>
          <cell r="L34">
            <v>5.25</v>
          </cell>
        </row>
        <row r="35">
          <cell r="B35" t="str">
            <v>Tiros de meta</v>
          </cell>
          <cell r="L35">
            <v>6.333333333333333</v>
          </cell>
        </row>
        <row r="36">
          <cell r="B36" t="str">
            <v>Total de chutes</v>
          </cell>
          <cell r="L36">
            <v>11.625</v>
          </cell>
        </row>
        <row r="37">
          <cell r="B37" t="str">
            <v>Trave</v>
          </cell>
          <cell r="L37">
            <v>0.55555555555555558</v>
          </cell>
        </row>
        <row r="38">
          <cell r="B38" t="str">
            <v>xG sofridos (xGC)</v>
          </cell>
          <cell r="L38">
            <v>0.82624999999999993</v>
          </cell>
        </row>
      </sheetData>
      <sheetData sheetId="29">
        <row r="2">
          <cell r="B2" t="str">
            <v>Ataque</v>
          </cell>
          <cell r="M2">
            <v>89.6</v>
          </cell>
        </row>
        <row r="3">
          <cell r="B3" t="str">
            <v>Cartões amarelos</v>
          </cell>
          <cell r="M3">
            <v>1.2</v>
          </cell>
        </row>
        <row r="4">
          <cell r="B4" t="str">
            <v>Cartões vermelhos</v>
          </cell>
          <cell r="M4">
            <v>0.1</v>
          </cell>
        </row>
        <row r="5">
          <cell r="B5" t="str">
            <v>Chances perigosas criadas</v>
          </cell>
          <cell r="M5">
            <v>4</v>
          </cell>
        </row>
        <row r="6">
          <cell r="B6" t="str">
            <v>Chutes bloqueados</v>
          </cell>
          <cell r="M6">
            <v>2.6666666666666665</v>
          </cell>
        </row>
        <row r="7">
          <cell r="B7" t="str">
            <v>Chutes dentro da área</v>
          </cell>
          <cell r="M7">
            <v>7</v>
          </cell>
        </row>
        <row r="8">
          <cell r="B8" t="str">
            <v>Chutes fora da área</v>
          </cell>
          <cell r="M8">
            <v>4</v>
          </cell>
        </row>
        <row r="9">
          <cell r="B9" t="str">
            <v>Chutes no gol</v>
          </cell>
          <cell r="M9">
            <v>4.8</v>
          </cell>
        </row>
        <row r="10">
          <cell r="B10" t="str">
            <v>Chutes para fora</v>
          </cell>
          <cell r="M10">
            <v>3.3</v>
          </cell>
        </row>
        <row r="11">
          <cell r="B11" t="str">
            <v>Defesas do goleiro</v>
          </cell>
          <cell r="M11">
            <v>1</v>
          </cell>
        </row>
        <row r="12">
          <cell r="B12" t="str">
            <v>Driblado</v>
          </cell>
          <cell r="M12">
            <v>9</v>
          </cell>
        </row>
        <row r="13">
          <cell r="B13" t="str">
            <v>Duelos ganhos</v>
          </cell>
          <cell r="M13">
            <v>52</v>
          </cell>
        </row>
        <row r="14">
          <cell r="B14" t="str">
            <v>Escanteios</v>
          </cell>
          <cell r="M14">
            <v>4.9000000000000004</v>
          </cell>
        </row>
        <row r="15">
          <cell r="B15" t="str">
            <v>Faltas</v>
          </cell>
          <cell r="M15">
            <v>16</v>
          </cell>
        </row>
        <row r="16">
          <cell r="B16" t="str">
            <v>Faltas sofridas</v>
          </cell>
          <cell r="M16">
            <v>10</v>
          </cell>
        </row>
        <row r="17">
          <cell r="B17" t="str">
            <v>Gol sofrido devido a erro individual</v>
          </cell>
          <cell r="M17">
            <v>0</v>
          </cell>
        </row>
        <row r="18">
          <cell r="B18" t="str">
            <v>Grandes chances perdidas</v>
          </cell>
          <cell r="M18">
            <v>2</v>
          </cell>
        </row>
        <row r="19">
          <cell r="B19" t="str">
            <v>Impedimentos</v>
          </cell>
          <cell r="M19">
            <v>1.5</v>
          </cell>
        </row>
        <row r="20">
          <cell r="B20" t="str">
            <v>Interceptações</v>
          </cell>
          <cell r="M20">
            <v>8</v>
          </cell>
        </row>
        <row r="21">
          <cell r="B21" t="str">
            <v>Laterais cobrados</v>
          </cell>
          <cell r="M21">
            <v>21.4</v>
          </cell>
        </row>
        <row r="22">
          <cell r="B22" t="str">
            <v>Passes completos</v>
          </cell>
          <cell r="M22">
            <v>331</v>
          </cell>
        </row>
        <row r="23">
          <cell r="B23" t="str">
            <v>Passes decisivos</v>
          </cell>
          <cell r="M23">
            <v>7</v>
          </cell>
        </row>
        <row r="24">
          <cell r="B24" t="str">
            <v>Passes no campo adversário</v>
          </cell>
          <cell r="M24">
            <v>232</v>
          </cell>
        </row>
        <row r="25">
          <cell r="B25" t="str">
            <v>Passes no próprio campo</v>
          </cell>
          <cell r="M25">
            <v>177</v>
          </cell>
        </row>
        <row r="26">
          <cell r="B26" t="str">
            <v>Passes no último terço</v>
          </cell>
          <cell r="M26">
            <v>54</v>
          </cell>
        </row>
        <row r="27">
          <cell r="B27" t="str">
            <v>Passes para trás</v>
          </cell>
          <cell r="M27">
            <v>64</v>
          </cell>
        </row>
        <row r="28">
          <cell r="B28" t="str">
            <v>Perigo afastado</v>
          </cell>
          <cell r="M28">
            <v>27</v>
          </cell>
        </row>
        <row r="29">
          <cell r="B29" t="str">
            <v>Posse de Bola</v>
          </cell>
          <cell r="M29">
            <v>0.41900000000000004</v>
          </cell>
        </row>
        <row r="30">
          <cell r="B30" t="str">
            <v>Posse de bola perdida</v>
          </cell>
          <cell r="M30">
            <v>114</v>
          </cell>
        </row>
        <row r="31">
          <cell r="B31" t="str">
            <v>Posse recuperada no terço final</v>
          </cell>
          <cell r="M31">
            <v>1</v>
          </cell>
        </row>
        <row r="32">
          <cell r="B32" t="str">
            <v>Tiros de meta</v>
          </cell>
          <cell r="M32">
            <v>8</v>
          </cell>
        </row>
        <row r="33">
          <cell r="B33" t="str">
            <v>Total de chutes</v>
          </cell>
          <cell r="M33">
            <v>10.5</v>
          </cell>
        </row>
        <row r="34">
          <cell r="B34" t="str">
            <v>Trave</v>
          </cell>
          <cell r="M34">
            <v>0.1111111111111111</v>
          </cell>
        </row>
      </sheetData>
      <sheetData sheetId="30">
        <row r="2">
          <cell r="B2" t="str">
            <v>Assistência esperada (xA)</v>
          </cell>
          <cell r="M2">
            <v>0.99666666666666659</v>
          </cell>
        </row>
        <row r="3">
          <cell r="B3" t="str">
            <v>Ataque</v>
          </cell>
          <cell r="M3">
            <v>123.7</v>
          </cell>
        </row>
        <row r="4">
          <cell r="B4" t="str">
            <v>Cartões amarelos</v>
          </cell>
          <cell r="M4">
            <v>1.5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2.6666666666666665</v>
          </cell>
        </row>
        <row r="7">
          <cell r="B7" t="str">
            <v>Chutes bloqueados</v>
          </cell>
          <cell r="M7">
            <v>4</v>
          </cell>
        </row>
        <row r="8">
          <cell r="B8" t="str">
            <v>Chutes dentro da área</v>
          </cell>
          <cell r="M8">
            <v>9.4444444444444446</v>
          </cell>
        </row>
        <row r="9">
          <cell r="B9" t="str">
            <v>Chutes fora da área</v>
          </cell>
          <cell r="M9">
            <v>4.5555555555555554</v>
          </cell>
        </row>
        <row r="10">
          <cell r="B10" t="str">
            <v>Chutes no gol</v>
          </cell>
          <cell r="M10">
            <v>4.8</v>
          </cell>
        </row>
        <row r="11">
          <cell r="B11" t="str">
            <v>Chutes para fora</v>
          </cell>
          <cell r="M11">
            <v>5.3</v>
          </cell>
        </row>
        <row r="12">
          <cell r="B12" t="str">
            <v>Defesas do goleiro</v>
          </cell>
          <cell r="M12">
            <v>1.8888888888888888</v>
          </cell>
        </row>
        <row r="13">
          <cell r="B13" t="str">
            <v>Driblado</v>
          </cell>
          <cell r="M13">
            <v>9.3333333333333339</v>
          </cell>
        </row>
        <row r="14">
          <cell r="B14" t="str">
            <v>Duelos ganhos</v>
          </cell>
          <cell r="M14">
            <v>58</v>
          </cell>
        </row>
        <row r="15">
          <cell r="B15" t="str">
            <v>Escanteios</v>
          </cell>
          <cell r="M15">
            <v>5.4</v>
          </cell>
        </row>
        <row r="16">
          <cell r="B16" t="str">
            <v>Faltas</v>
          </cell>
          <cell r="M16">
            <v>16</v>
          </cell>
        </row>
        <row r="17">
          <cell r="B17" t="str">
            <v>Faltas sofridas</v>
          </cell>
          <cell r="M17">
            <v>19.777777777777779</v>
          </cell>
        </row>
        <row r="18">
          <cell r="B18" t="str">
            <v>Gol sofrido devido a erro individual</v>
          </cell>
          <cell r="M18">
            <v>0.5</v>
          </cell>
        </row>
        <row r="19">
          <cell r="B19" t="str">
            <v>Gols esperados (xG)</v>
          </cell>
          <cell r="M19">
            <v>1.6388888888888888</v>
          </cell>
        </row>
        <row r="20">
          <cell r="B20" t="str">
            <v>Gols esperados em chutes no alvo</v>
          </cell>
          <cell r="M20">
            <v>1.8411111111111111</v>
          </cell>
        </row>
        <row r="21">
          <cell r="B21" t="str">
            <v>Grandes chances perdidas</v>
          </cell>
          <cell r="M21">
            <v>1.7777777777777777</v>
          </cell>
        </row>
        <row r="22">
          <cell r="B22" t="str">
            <v>Impedimentos</v>
          </cell>
          <cell r="M22">
            <v>2</v>
          </cell>
        </row>
        <row r="23">
          <cell r="B23" t="str">
            <v>Interceptações</v>
          </cell>
          <cell r="M23">
            <v>7.2222222222222223</v>
          </cell>
        </row>
        <row r="24">
          <cell r="B24" t="str">
            <v>Laterais cobrados</v>
          </cell>
          <cell r="M24">
            <v>20.3</v>
          </cell>
        </row>
        <row r="25">
          <cell r="B25" t="str">
            <v>Passes completos</v>
          </cell>
          <cell r="M25">
            <v>425.44444444444446</v>
          </cell>
        </row>
        <row r="26">
          <cell r="B26" t="str">
            <v>Passes decisivos</v>
          </cell>
          <cell r="M26">
            <v>9</v>
          </cell>
        </row>
        <row r="27">
          <cell r="B27" t="str">
            <v>Passes no campo adversário</v>
          </cell>
          <cell r="M27">
            <v>292.22222222222223</v>
          </cell>
        </row>
        <row r="28">
          <cell r="B28" t="str">
            <v>Passes no próprio campo</v>
          </cell>
          <cell r="M28">
            <v>222.55555555555554</v>
          </cell>
        </row>
        <row r="29">
          <cell r="B29" t="str">
            <v>Passes no último terço</v>
          </cell>
          <cell r="M29">
            <v>108.11111111111111</v>
          </cell>
        </row>
        <row r="30">
          <cell r="B30" t="str">
            <v>Passes para trás</v>
          </cell>
          <cell r="M30">
            <v>84.888888888888886</v>
          </cell>
        </row>
        <row r="31">
          <cell r="B31" t="str">
            <v>Perigo afastado</v>
          </cell>
          <cell r="M31">
            <v>20.333333333333332</v>
          </cell>
        </row>
        <row r="32">
          <cell r="B32" t="str">
            <v>Posse de Bola</v>
          </cell>
          <cell r="M32">
            <v>0.57499999999999996</v>
          </cell>
        </row>
        <row r="33">
          <cell r="B33" t="str">
            <v>Posse de bola perdida</v>
          </cell>
          <cell r="M33">
            <v>122.77777777777777</v>
          </cell>
        </row>
        <row r="34">
          <cell r="B34" t="str">
            <v>Posse recuperada no terço final</v>
          </cell>
          <cell r="M34">
            <v>3.5555555555555554</v>
          </cell>
        </row>
        <row r="35">
          <cell r="B35" t="str">
            <v>Tiros de meta</v>
          </cell>
          <cell r="M35">
            <v>5.3</v>
          </cell>
        </row>
        <row r="36">
          <cell r="B36" t="str">
            <v>Total de chutes</v>
          </cell>
          <cell r="M36">
            <v>14.1</v>
          </cell>
        </row>
        <row r="37">
          <cell r="B37" t="str">
            <v>Trave</v>
          </cell>
          <cell r="M37">
            <v>0.4</v>
          </cell>
        </row>
        <row r="38">
          <cell r="B38" t="str">
            <v>xG sofridos (xGC)</v>
          </cell>
          <cell r="M38">
            <v>0.65222222222222226</v>
          </cell>
        </row>
      </sheetData>
      <sheetData sheetId="31">
        <row r="2">
          <cell r="B2" t="str">
            <v>Assistência esperada (xA)</v>
          </cell>
          <cell r="M2">
            <v>0.72111111111111115</v>
          </cell>
        </row>
        <row r="3">
          <cell r="B3" t="str">
            <v>Ataque</v>
          </cell>
          <cell r="M3">
            <v>96.6</v>
          </cell>
        </row>
        <row r="4">
          <cell r="B4" t="str">
            <v>Cartões amarelos</v>
          </cell>
          <cell r="M4">
            <v>2.2999999999999998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1.5555555555555556</v>
          </cell>
        </row>
        <row r="7">
          <cell r="B7" t="str">
            <v>Chutes bloqueados</v>
          </cell>
          <cell r="M7">
            <v>3.1</v>
          </cell>
        </row>
        <row r="8">
          <cell r="B8" t="str">
            <v>Chutes dentro da área</v>
          </cell>
          <cell r="M8">
            <v>5.2222222222222223</v>
          </cell>
        </row>
        <row r="9">
          <cell r="B9" t="str">
            <v>Chutes fora da área</v>
          </cell>
          <cell r="M9">
            <v>4.5555555555555554</v>
          </cell>
        </row>
        <row r="10">
          <cell r="B10" t="str">
            <v>Chutes no gol</v>
          </cell>
          <cell r="M10">
            <v>3.9</v>
          </cell>
        </row>
        <row r="11">
          <cell r="B11" t="str">
            <v>Chutes para fora</v>
          </cell>
          <cell r="M11">
            <v>4.2</v>
          </cell>
        </row>
        <row r="12">
          <cell r="B12" t="str">
            <v>Defesas do goleiro</v>
          </cell>
          <cell r="M12">
            <v>2.2222222222222223</v>
          </cell>
        </row>
        <row r="13">
          <cell r="B13" t="str">
            <v>Driblado</v>
          </cell>
          <cell r="M13">
            <v>4.666666666666667</v>
          </cell>
        </row>
        <row r="14">
          <cell r="B14" t="str">
            <v>Duelos ganhos</v>
          </cell>
          <cell r="M14">
            <v>44.111111111111114</v>
          </cell>
        </row>
        <row r="15">
          <cell r="B15" t="str">
            <v>Escanteios</v>
          </cell>
          <cell r="M15">
            <v>3.7</v>
          </cell>
        </row>
        <row r="16">
          <cell r="B16" t="str">
            <v>Faltas</v>
          </cell>
          <cell r="M16">
            <v>13.333333333333334</v>
          </cell>
        </row>
        <row r="17">
          <cell r="B17" t="str">
            <v>Faltas sofridas</v>
          </cell>
          <cell r="M17">
            <v>14.333333333333334</v>
          </cell>
        </row>
        <row r="18">
          <cell r="B18" t="str">
            <v>Gol sofrido devido a erro individual</v>
          </cell>
          <cell r="M18">
            <v>0</v>
          </cell>
        </row>
        <row r="19">
          <cell r="B19" t="str">
            <v>Gols esperados (xG)</v>
          </cell>
          <cell r="M19">
            <v>0.95888888888888901</v>
          </cell>
        </row>
        <row r="20">
          <cell r="B20" t="str">
            <v>Gols esperados em chutes no alvo</v>
          </cell>
          <cell r="M20">
            <v>0.72111111111111104</v>
          </cell>
        </row>
        <row r="21">
          <cell r="B21" t="str">
            <v>Grandes chances perdidas</v>
          </cell>
          <cell r="M21">
            <v>1.4285714285714286</v>
          </cell>
        </row>
        <row r="22">
          <cell r="B22" t="str">
            <v>Impedimentos</v>
          </cell>
          <cell r="M22">
            <v>1.7</v>
          </cell>
        </row>
        <row r="23">
          <cell r="B23" t="str">
            <v>Interceptações</v>
          </cell>
          <cell r="M23">
            <v>6.333333333333333</v>
          </cell>
        </row>
        <row r="24">
          <cell r="B24" t="str">
            <v>Laterais cobrados</v>
          </cell>
          <cell r="M24">
            <v>18.8</v>
          </cell>
        </row>
        <row r="25">
          <cell r="B25" t="str">
            <v>Passes completos</v>
          </cell>
          <cell r="M25">
            <v>401.55555555555554</v>
          </cell>
        </row>
        <row r="26">
          <cell r="B26" t="str">
            <v>Passes decisivos</v>
          </cell>
          <cell r="M26">
            <v>7.333333333333333</v>
          </cell>
        </row>
        <row r="27">
          <cell r="B27" t="str">
            <v>Passes no campo adversário</v>
          </cell>
          <cell r="M27">
            <v>238.33333333333334</v>
          </cell>
        </row>
        <row r="28">
          <cell r="B28" t="str">
            <v>Passes no próprio campo</v>
          </cell>
          <cell r="M28">
            <v>244.11111111111111</v>
          </cell>
        </row>
        <row r="29">
          <cell r="B29" t="str">
            <v>Passes no último terço</v>
          </cell>
          <cell r="M29">
            <v>71.666666666666671</v>
          </cell>
        </row>
        <row r="30">
          <cell r="B30" t="str">
            <v>Passes para trás</v>
          </cell>
          <cell r="M30">
            <v>71.222222222222229</v>
          </cell>
        </row>
        <row r="31">
          <cell r="B31" t="str">
            <v>Perigo afastado</v>
          </cell>
          <cell r="M31">
            <v>13.777777777777779</v>
          </cell>
        </row>
        <row r="32">
          <cell r="B32" t="str">
            <v>Posse de Bola</v>
          </cell>
          <cell r="M32">
            <v>0.55599999999999994</v>
          </cell>
        </row>
        <row r="33">
          <cell r="B33" t="str">
            <v>Posse de bola perdida</v>
          </cell>
          <cell r="M33">
            <v>107.33333333333333</v>
          </cell>
        </row>
        <row r="34">
          <cell r="B34" t="str">
            <v>Posse recuperada no terço final</v>
          </cell>
          <cell r="M34">
            <v>4.666666666666667</v>
          </cell>
        </row>
        <row r="35">
          <cell r="B35" t="str">
            <v>Tiros de meta</v>
          </cell>
          <cell r="M35">
            <v>5.9</v>
          </cell>
        </row>
        <row r="36">
          <cell r="B36" t="str">
            <v>Total de chutes</v>
          </cell>
          <cell r="M36">
            <v>11.2</v>
          </cell>
        </row>
        <row r="37">
          <cell r="B37" t="str">
            <v>Trave</v>
          </cell>
          <cell r="M37">
            <v>0.2</v>
          </cell>
        </row>
        <row r="38">
          <cell r="B38" t="str">
            <v>xG sofridos (xGC)</v>
          </cell>
          <cell r="M38">
            <v>0.79222222222222227</v>
          </cell>
        </row>
      </sheetData>
      <sheetData sheetId="32">
        <row r="2">
          <cell r="B2" t="str">
            <v>Assistência esperada (xA)</v>
          </cell>
          <cell r="M2">
            <v>1.7500000000000004</v>
          </cell>
        </row>
        <row r="3">
          <cell r="B3" t="str">
            <v>Ataque</v>
          </cell>
          <cell r="M3">
            <v>74.8</v>
          </cell>
        </row>
        <row r="4">
          <cell r="B4" t="str">
            <v>Cartões amarelos</v>
          </cell>
          <cell r="M4">
            <v>0.8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4.2</v>
          </cell>
        </row>
        <row r="7">
          <cell r="B7" t="str">
            <v>Chutes bloqueados</v>
          </cell>
          <cell r="M7">
            <v>5</v>
          </cell>
        </row>
        <row r="8">
          <cell r="B8" t="str">
            <v>Chutes dentro da área</v>
          </cell>
          <cell r="M8">
            <v>11.8</v>
          </cell>
        </row>
        <row r="9">
          <cell r="B9" t="str">
            <v>Chutes fora da área</v>
          </cell>
          <cell r="M9">
            <v>3.7</v>
          </cell>
        </row>
        <row r="10">
          <cell r="B10" t="str">
            <v>Chutes no gol</v>
          </cell>
          <cell r="M10">
            <v>5.3</v>
          </cell>
        </row>
        <row r="11">
          <cell r="B11" t="str">
            <v>Chutes para fora</v>
          </cell>
          <cell r="M11">
            <v>5.2</v>
          </cell>
        </row>
        <row r="12">
          <cell r="B12" t="str">
            <v>Defesas do goleiro</v>
          </cell>
          <cell r="M12">
            <v>1.8</v>
          </cell>
        </row>
        <row r="13">
          <cell r="B13" t="str">
            <v>Driblado</v>
          </cell>
          <cell r="M13">
            <v>8.6999999999999993</v>
          </cell>
        </row>
        <row r="14">
          <cell r="B14" t="str">
            <v>Duelos ganhos</v>
          </cell>
          <cell r="M14">
            <v>44.3</v>
          </cell>
        </row>
        <row r="15">
          <cell r="B15" t="str">
            <v>Escanteios</v>
          </cell>
          <cell r="M15">
            <v>4.8</v>
          </cell>
        </row>
        <row r="16">
          <cell r="B16" t="str">
            <v>Faltas</v>
          </cell>
          <cell r="M16">
            <v>9.1</v>
          </cell>
        </row>
        <row r="17">
          <cell r="B17" t="str">
            <v>Faltas sofridas</v>
          </cell>
          <cell r="M17">
            <v>11.3</v>
          </cell>
        </row>
        <row r="18">
          <cell r="B18" t="str">
            <v>Gol sofrido devido a erro individual</v>
          </cell>
          <cell r="M18">
            <v>0.5</v>
          </cell>
        </row>
        <row r="19">
          <cell r="B19" t="str">
            <v>Gols esperados (xG)</v>
          </cell>
          <cell r="M19">
            <v>2.161</v>
          </cell>
        </row>
        <row r="20">
          <cell r="B20" t="str">
            <v>Gols esperados em chutes no alvo</v>
          </cell>
          <cell r="M20">
            <v>2.323</v>
          </cell>
        </row>
        <row r="21">
          <cell r="B21" t="str">
            <v>Grandes chances perdidas</v>
          </cell>
          <cell r="M21">
            <v>2</v>
          </cell>
        </row>
        <row r="22">
          <cell r="B22" t="str">
            <v>Impedimentos</v>
          </cell>
          <cell r="M22">
            <v>1.2</v>
          </cell>
        </row>
        <row r="23">
          <cell r="B23" t="str">
            <v>Interceptações</v>
          </cell>
          <cell r="M23">
            <v>6.7</v>
          </cell>
        </row>
        <row r="24">
          <cell r="B24" t="str">
            <v>Laterais cobrados</v>
          </cell>
          <cell r="M24">
            <v>17.8</v>
          </cell>
        </row>
        <row r="25">
          <cell r="B25" t="str">
            <v>Passes completos</v>
          </cell>
          <cell r="M25">
            <v>456</v>
          </cell>
        </row>
        <row r="26">
          <cell r="B26" t="str">
            <v>Passes decisivos</v>
          </cell>
          <cell r="M26">
            <v>12.3</v>
          </cell>
        </row>
        <row r="27">
          <cell r="B27" t="str">
            <v>Passes no campo adversário</v>
          </cell>
          <cell r="M27">
            <v>304.2</v>
          </cell>
        </row>
        <row r="28">
          <cell r="B28" t="str">
            <v>Passes no próprio campo</v>
          </cell>
          <cell r="M28">
            <v>229.6</v>
          </cell>
        </row>
        <row r="29">
          <cell r="B29" t="str">
            <v>Passes no último terço</v>
          </cell>
          <cell r="M29">
            <v>121.5</v>
          </cell>
        </row>
        <row r="30">
          <cell r="B30" t="str">
            <v>Passes para trás</v>
          </cell>
          <cell r="M30">
            <v>84.2</v>
          </cell>
        </row>
        <row r="31">
          <cell r="B31" t="str">
            <v>Perigo afastado</v>
          </cell>
          <cell r="M31">
            <v>15.3</v>
          </cell>
        </row>
        <row r="32">
          <cell r="B32" t="str">
            <v>Posse de Bola</v>
          </cell>
          <cell r="M32">
            <v>0.55300000000000005</v>
          </cell>
        </row>
        <row r="33">
          <cell r="B33" t="str">
            <v>Posse de bola perdida</v>
          </cell>
          <cell r="M33">
            <v>105.5</v>
          </cell>
        </row>
        <row r="34">
          <cell r="B34" t="str">
            <v>Posse recuperada no terço final</v>
          </cell>
          <cell r="M34">
            <v>4.5999999999999996</v>
          </cell>
        </row>
        <row r="35">
          <cell r="B35" t="str">
            <v>Tiros de meta</v>
          </cell>
          <cell r="M35">
            <v>4</v>
          </cell>
        </row>
        <row r="36">
          <cell r="B36" t="str">
            <v>Total de chutes</v>
          </cell>
          <cell r="M36">
            <v>15.5</v>
          </cell>
        </row>
        <row r="37">
          <cell r="B37" t="str">
            <v>Trave</v>
          </cell>
          <cell r="M37">
            <v>0.6</v>
          </cell>
        </row>
        <row r="38">
          <cell r="B38" t="str">
            <v>xG sofridos (xGC)</v>
          </cell>
          <cell r="M38">
            <v>0.72300000000000009</v>
          </cell>
        </row>
      </sheetData>
      <sheetData sheetId="33">
        <row r="2">
          <cell r="B2" t="str">
            <v>Assistência esperada (xA)</v>
          </cell>
          <cell r="M2">
            <v>0.57999999999999996</v>
          </cell>
        </row>
        <row r="3">
          <cell r="B3" t="str">
            <v>Ataque</v>
          </cell>
          <cell r="M3">
            <v>54.9</v>
          </cell>
        </row>
        <row r="4">
          <cell r="B4" t="str">
            <v>Cartões amarelos</v>
          </cell>
          <cell r="M4">
            <v>1.7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1.8</v>
          </cell>
        </row>
        <row r="7">
          <cell r="B7" t="str">
            <v>Chutes bloqueados</v>
          </cell>
          <cell r="M7">
            <v>3</v>
          </cell>
        </row>
        <row r="8">
          <cell r="B8" t="str">
            <v>Chutes dentro da área</v>
          </cell>
          <cell r="M8">
            <v>5.2</v>
          </cell>
        </row>
        <row r="9">
          <cell r="B9" t="str">
            <v>Chutes fora da área</v>
          </cell>
          <cell r="M9">
            <v>4</v>
          </cell>
        </row>
        <row r="10">
          <cell r="B10" t="str">
            <v>Chutes no gol</v>
          </cell>
          <cell r="M10">
            <v>3.4</v>
          </cell>
        </row>
        <row r="11">
          <cell r="B11" t="str">
            <v>Chutes para fora</v>
          </cell>
          <cell r="M11">
            <v>3.1</v>
          </cell>
        </row>
        <row r="12">
          <cell r="B12" t="str">
            <v>Defesas do goleiro</v>
          </cell>
          <cell r="M12">
            <v>4.5999999999999996</v>
          </cell>
        </row>
        <row r="13">
          <cell r="B13" t="str">
            <v>Driblado</v>
          </cell>
          <cell r="M13">
            <v>6.8</v>
          </cell>
        </row>
        <row r="14">
          <cell r="B14" t="str">
            <v>Duelos ganhos</v>
          </cell>
          <cell r="M14">
            <v>37.799999999999997</v>
          </cell>
        </row>
        <row r="15">
          <cell r="B15" t="str">
            <v>Escanteios</v>
          </cell>
          <cell r="M15">
            <v>3.5</v>
          </cell>
        </row>
        <row r="16">
          <cell r="B16" t="str">
            <v>Faltas</v>
          </cell>
          <cell r="M16">
            <v>12</v>
          </cell>
        </row>
        <row r="17">
          <cell r="B17" t="str">
            <v>Faltas sofridas</v>
          </cell>
          <cell r="M17">
            <v>10.199999999999999</v>
          </cell>
        </row>
        <row r="18">
          <cell r="B18" t="str">
            <v>Gols esperados (xG)</v>
          </cell>
          <cell r="M18">
            <v>0.83799999999999986</v>
          </cell>
        </row>
        <row r="19">
          <cell r="B19" t="str">
            <v>Gols esperados em chutes no alvo</v>
          </cell>
          <cell r="M19">
            <v>1.3239999999999998</v>
          </cell>
        </row>
        <row r="20">
          <cell r="B20" t="str">
            <v>Grandes chances perdidas</v>
          </cell>
          <cell r="M20">
            <v>2</v>
          </cell>
        </row>
        <row r="21">
          <cell r="B21" t="str">
            <v>Impedimentos</v>
          </cell>
          <cell r="M21">
            <v>1.5</v>
          </cell>
        </row>
        <row r="22">
          <cell r="B22" t="str">
            <v>Interceptações</v>
          </cell>
          <cell r="M22">
            <v>9</v>
          </cell>
        </row>
        <row r="23">
          <cell r="B23" t="str">
            <v>Laterais cobrados</v>
          </cell>
          <cell r="M23">
            <v>20.9</v>
          </cell>
        </row>
        <row r="24">
          <cell r="B24" t="str">
            <v>Passes completos</v>
          </cell>
          <cell r="M24">
            <v>299.2</v>
          </cell>
        </row>
        <row r="25">
          <cell r="B25" t="str">
            <v>Passes decisivos</v>
          </cell>
          <cell r="M25">
            <v>5.8</v>
          </cell>
        </row>
        <row r="26">
          <cell r="B26" t="str">
            <v>Passes no campo adversário</v>
          </cell>
          <cell r="M26">
            <v>190.8</v>
          </cell>
        </row>
        <row r="27">
          <cell r="B27" t="str">
            <v>Passes no próprio campo</v>
          </cell>
          <cell r="M27">
            <v>196.6</v>
          </cell>
        </row>
        <row r="28">
          <cell r="B28" t="str">
            <v>Passes no último terço</v>
          </cell>
          <cell r="M28">
            <v>50.8</v>
          </cell>
        </row>
        <row r="29">
          <cell r="B29" t="str">
            <v>Passes para trás</v>
          </cell>
          <cell r="M29">
            <v>61</v>
          </cell>
        </row>
        <row r="30">
          <cell r="B30" t="str">
            <v>Perigo afastado</v>
          </cell>
          <cell r="M30">
            <v>22.2</v>
          </cell>
        </row>
        <row r="31">
          <cell r="B31" t="str">
            <v>Posse de Bola</v>
          </cell>
          <cell r="M31">
            <v>0.44000000000000011</v>
          </cell>
        </row>
        <row r="32">
          <cell r="B32" t="str">
            <v>Posse de bola perdida</v>
          </cell>
          <cell r="M32">
            <v>125.2</v>
          </cell>
        </row>
        <row r="33">
          <cell r="B33" t="str">
            <v>Posse recuperada no terço final</v>
          </cell>
          <cell r="M33">
            <v>5</v>
          </cell>
        </row>
        <row r="34">
          <cell r="B34" t="str">
            <v>Tiros de meta</v>
          </cell>
          <cell r="M34">
            <v>7</v>
          </cell>
        </row>
        <row r="35">
          <cell r="B35" t="str">
            <v>Total de chutes</v>
          </cell>
          <cell r="M35">
            <v>9.8571428571428577</v>
          </cell>
        </row>
        <row r="36">
          <cell r="B36" t="str">
            <v>Trave</v>
          </cell>
          <cell r="M36">
            <v>0.125</v>
          </cell>
        </row>
        <row r="37">
          <cell r="B37" t="str">
            <v>xG sofridos (xGC)</v>
          </cell>
          <cell r="M37">
            <v>1.3679999999999999</v>
          </cell>
        </row>
      </sheetData>
      <sheetData sheetId="34">
        <row r="2">
          <cell r="B2" t="str">
            <v>Assistência esperada (xA)</v>
          </cell>
          <cell r="M2">
            <v>0.37666666666666671</v>
          </cell>
        </row>
        <row r="3">
          <cell r="B3" t="str">
            <v>Ataque</v>
          </cell>
          <cell r="M3">
            <v>56.7</v>
          </cell>
        </row>
        <row r="4">
          <cell r="B4" t="str">
            <v>Cartões amarelos</v>
          </cell>
          <cell r="M4">
            <v>1.7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2.5555555555555554</v>
          </cell>
        </row>
        <row r="7">
          <cell r="B7" t="str">
            <v>Chutes bloqueados</v>
          </cell>
          <cell r="M7">
            <v>2.2222222222222223</v>
          </cell>
        </row>
        <row r="8">
          <cell r="B8" t="str">
            <v>Chutes dentro da área</v>
          </cell>
          <cell r="M8">
            <v>8.7777777777777786</v>
          </cell>
        </row>
        <row r="9">
          <cell r="B9" t="str">
            <v>Chutes fora da área</v>
          </cell>
          <cell r="M9">
            <v>3.8888888888888888</v>
          </cell>
        </row>
        <row r="10">
          <cell r="B10" t="str">
            <v>Chutes no gol</v>
          </cell>
          <cell r="M10">
            <v>4.666666666666667</v>
          </cell>
        </row>
        <row r="11">
          <cell r="B11" t="str">
            <v>Chutes para fora</v>
          </cell>
          <cell r="M11">
            <v>5.7777777777777777</v>
          </cell>
        </row>
        <row r="12">
          <cell r="B12" t="str">
            <v>Defesas do goleiro</v>
          </cell>
          <cell r="M12">
            <v>2.1111111111111112</v>
          </cell>
        </row>
        <row r="13">
          <cell r="B13" t="str">
            <v>Driblado</v>
          </cell>
          <cell r="M13">
            <v>6.4444444444444446</v>
          </cell>
        </row>
        <row r="14">
          <cell r="B14" t="str">
            <v>Duelos ganhos</v>
          </cell>
          <cell r="M14">
            <v>44.111111111111114</v>
          </cell>
        </row>
        <row r="15">
          <cell r="B15" t="str">
            <v>Escanteios</v>
          </cell>
          <cell r="M15">
            <v>3.8</v>
          </cell>
        </row>
        <row r="16">
          <cell r="B16" t="str">
            <v>Faltas</v>
          </cell>
          <cell r="M16">
            <v>14.555555555555555</v>
          </cell>
        </row>
        <row r="17">
          <cell r="B17" t="str">
            <v>Faltas sofridas</v>
          </cell>
          <cell r="M17">
            <v>11.777777777777779</v>
          </cell>
        </row>
        <row r="18">
          <cell r="B18" t="str">
            <v>Gols esperados (xG)</v>
          </cell>
          <cell r="M18">
            <v>0.40333333333333338</v>
          </cell>
        </row>
        <row r="19">
          <cell r="B19" t="str">
            <v>Gols esperados em chutes no alvo</v>
          </cell>
          <cell r="M19">
            <v>0.48666666666666664</v>
          </cell>
        </row>
        <row r="20">
          <cell r="B20" t="str">
            <v>Grandes chances perdidas</v>
          </cell>
          <cell r="M20">
            <v>1.8888888888888888</v>
          </cell>
        </row>
        <row r="21">
          <cell r="B21" t="str">
            <v>Impedimentos</v>
          </cell>
          <cell r="M21">
            <v>1.7</v>
          </cell>
        </row>
        <row r="22">
          <cell r="B22" t="str">
            <v>Interceptações</v>
          </cell>
          <cell r="M22">
            <v>6.8888888888888893</v>
          </cell>
        </row>
        <row r="23">
          <cell r="B23" t="str">
            <v>Laterais cobrados</v>
          </cell>
          <cell r="M23">
            <v>16.7</v>
          </cell>
        </row>
        <row r="24">
          <cell r="B24" t="str">
            <v>Passes completos</v>
          </cell>
          <cell r="M24">
            <v>344.77777777777777</v>
          </cell>
        </row>
        <row r="25">
          <cell r="B25" t="str">
            <v>Passes decisivos</v>
          </cell>
          <cell r="M25">
            <v>9</v>
          </cell>
        </row>
        <row r="26">
          <cell r="B26" t="str">
            <v>Passes no campo adversário</v>
          </cell>
          <cell r="M26">
            <v>235.88888888888889</v>
          </cell>
        </row>
        <row r="27">
          <cell r="B27" t="str">
            <v>Passes no próprio campo</v>
          </cell>
          <cell r="M27">
            <v>197.11111111111111</v>
          </cell>
        </row>
        <row r="28">
          <cell r="B28" t="str">
            <v>Passes no último terço</v>
          </cell>
          <cell r="M28">
            <v>80.777777777777771</v>
          </cell>
        </row>
        <row r="29">
          <cell r="B29" t="str">
            <v>Passes para trás</v>
          </cell>
          <cell r="M29">
            <v>56.444444444444443</v>
          </cell>
        </row>
        <row r="30">
          <cell r="B30" t="str">
            <v>Perigo afastado</v>
          </cell>
          <cell r="M30">
            <v>20.888888888888889</v>
          </cell>
        </row>
        <row r="31">
          <cell r="B31" t="str">
            <v>Posse de Bola</v>
          </cell>
          <cell r="M31">
            <v>0.52333333333333343</v>
          </cell>
        </row>
        <row r="32">
          <cell r="B32" t="str">
            <v>Posse de bola perdida</v>
          </cell>
          <cell r="M32">
            <v>119.88888888888889</v>
          </cell>
        </row>
        <row r="33">
          <cell r="B33" t="str">
            <v>Posse recuperada no terço final</v>
          </cell>
          <cell r="M33">
            <v>3.3333333333333335</v>
          </cell>
        </row>
        <row r="34">
          <cell r="B34" t="str">
            <v>Tiros de meta</v>
          </cell>
          <cell r="M34">
            <v>7.9</v>
          </cell>
        </row>
        <row r="35">
          <cell r="B35" t="str">
            <v>Total de chutes</v>
          </cell>
          <cell r="M35">
            <v>12.666666666666666</v>
          </cell>
        </row>
        <row r="36">
          <cell r="B36" t="str">
            <v>Trave</v>
          </cell>
          <cell r="M36">
            <v>0.55555555555555558</v>
          </cell>
        </row>
        <row r="37">
          <cell r="B37" t="str">
            <v>xG sofridos (xGC)</v>
          </cell>
          <cell r="M37">
            <v>1.0933333333333335</v>
          </cell>
        </row>
      </sheetData>
      <sheetData sheetId="35">
        <row r="2">
          <cell r="B2" t="str">
            <v>Assistência esperada (xA)</v>
          </cell>
          <cell r="M2">
            <v>0.57666666666666666</v>
          </cell>
        </row>
        <row r="3">
          <cell r="B3" t="str">
            <v>Ataque</v>
          </cell>
          <cell r="M3">
            <v>52.1</v>
          </cell>
        </row>
        <row r="4">
          <cell r="B4" t="str">
            <v>Cartões amarelos</v>
          </cell>
          <cell r="M4">
            <v>1.8</v>
          </cell>
        </row>
        <row r="5">
          <cell r="B5" t="str">
            <v>Cartões vermelhos</v>
          </cell>
          <cell r="M5">
            <v>0.1</v>
          </cell>
        </row>
        <row r="6">
          <cell r="B6" t="str">
            <v>Chances perigosas criadas</v>
          </cell>
          <cell r="M6">
            <v>1.4444444444444444</v>
          </cell>
        </row>
        <row r="7">
          <cell r="B7" t="str">
            <v>Chutes bloqueados</v>
          </cell>
          <cell r="M7">
            <v>2.4</v>
          </cell>
        </row>
        <row r="8">
          <cell r="B8" t="str">
            <v>Chutes dentro da área</v>
          </cell>
          <cell r="M8">
            <v>5.333333333333333</v>
          </cell>
        </row>
        <row r="9">
          <cell r="B9" t="str">
            <v>Chutes fora da área</v>
          </cell>
          <cell r="M9">
            <v>3.6666666666666665</v>
          </cell>
        </row>
        <row r="10">
          <cell r="B10" t="str">
            <v>Chutes no gol</v>
          </cell>
          <cell r="M10">
            <v>3.7</v>
          </cell>
        </row>
        <row r="11">
          <cell r="B11" t="str">
            <v>Chutes para fora</v>
          </cell>
          <cell r="M11">
            <v>2.9</v>
          </cell>
        </row>
        <row r="12">
          <cell r="B12" t="str">
            <v>Defesas do goleiro</v>
          </cell>
          <cell r="M12">
            <v>2.2999999999999998</v>
          </cell>
        </row>
        <row r="13">
          <cell r="B13" t="str">
            <v>Driblado</v>
          </cell>
          <cell r="M13">
            <v>5.666666666666667</v>
          </cell>
        </row>
        <row r="14">
          <cell r="B14" t="str">
            <v>Duelos ganhos</v>
          </cell>
          <cell r="M14">
            <v>51.333333333333336</v>
          </cell>
        </row>
        <row r="15">
          <cell r="B15" t="str">
            <v>Escanteios</v>
          </cell>
          <cell r="M15">
            <v>4</v>
          </cell>
        </row>
        <row r="16">
          <cell r="B16" t="str">
            <v>Faltas</v>
          </cell>
          <cell r="M16">
            <v>13.2</v>
          </cell>
        </row>
        <row r="17">
          <cell r="B17" t="str">
            <v>Faltas sofridas</v>
          </cell>
          <cell r="M17">
            <v>11.111111111111111</v>
          </cell>
        </row>
        <row r="18">
          <cell r="B18" t="str">
            <v>Gol sofrido devido a erro individual</v>
          </cell>
          <cell r="M18">
            <v>1</v>
          </cell>
        </row>
        <row r="19">
          <cell r="B19" t="str">
            <v>Gols esperados (xG)</v>
          </cell>
          <cell r="M19">
            <v>0.98888888888888893</v>
          </cell>
        </row>
        <row r="20">
          <cell r="B20" t="str">
            <v>Gols esperados em chutes no alvo</v>
          </cell>
          <cell r="M20">
            <v>1.0799999999999998</v>
          </cell>
        </row>
        <row r="21">
          <cell r="B21" t="str">
            <v>Grandes chances perdidas</v>
          </cell>
          <cell r="M21">
            <v>0.8571428571428571</v>
          </cell>
        </row>
        <row r="22">
          <cell r="B22" t="str">
            <v>Impedimentos</v>
          </cell>
          <cell r="M22">
            <v>1.5</v>
          </cell>
        </row>
        <row r="23">
          <cell r="B23" t="str">
            <v>Interceptações</v>
          </cell>
          <cell r="M23">
            <v>9.1111111111111107</v>
          </cell>
        </row>
        <row r="24">
          <cell r="B24" t="str">
            <v>Laterais cobrados</v>
          </cell>
          <cell r="M24">
            <v>19</v>
          </cell>
        </row>
        <row r="25">
          <cell r="B25" t="str">
            <v>Passes completos</v>
          </cell>
          <cell r="M25">
            <v>251.22222222222223</v>
          </cell>
        </row>
        <row r="26">
          <cell r="B26" t="str">
            <v>Passes decisivos</v>
          </cell>
          <cell r="M26">
            <v>5.666666666666667</v>
          </cell>
        </row>
        <row r="27">
          <cell r="B27" t="str">
            <v>Passes no campo adversário</v>
          </cell>
          <cell r="M27">
            <v>164.33333333333334</v>
          </cell>
        </row>
        <row r="28">
          <cell r="B28" t="str">
            <v>Passes no próprio campo</v>
          </cell>
          <cell r="M28">
            <v>177.77777777777777</v>
          </cell>
        </row>
        <row r="29">
          <cell r="B29" t="str">
            <v>Passes no último terço</v>
          </cell>
          <cell r="M29">
            <v>41.444444444444443</v>
          </cell>
        </row>
        <row r="30">
          <cell r="B30" t="str">
            <v>Passes para trás</v>
          </cell>
          <cell r="M30">
            <v>48.777777777777779</v>
          </cell>
        </row>
        <row r="31">
          <cell r="B31" t="str">
            <v>Perigo afastado</v>
          </cell>
          <cell r="M31">
            <v>24.888888888888889</v>
          </cell>
        </row>
        <row r="32">
          <cell r="B32" t="str">
            <v>Posse de Bola</v>
          </cell>
          <cell r="M32">
            <v>0.38699999999999996</v>
          </cell>
        </row>
        <row r="33">
          <cell r="B33" t="str">
            <v>Posse de bola perdida</v>
          </cell>
          <cell r="M33">
            <v>124</v>
          </cell>
        </row>
        <row r="34">
          <cell r="B34" t="str">
            <v>Posse recuperada no terço final</v>
          </cell>
          <cell r="M34">
            <v>3.6666666666666665</v>
          </cell>
        </row>
        <row r="35">
          <cell r="B35" t="str">
            <v>Tiros de meta</v>
          </cell>
          <cell r="M35">
            <v>6.4</v>
          </cell>
        </row>
        <row r="36">
          <cell r="B36" t="str">
            <v>Total de chutes</v>
          </cell>
          <cell r="M36">
            <v>9</v>
          </cell>
        </row>
        <row r="37">
          <cell r="B37" t="str">
            <v>Trave</v>
          </cell>
          <cell r="M37">
            <v>0.3</v>
          </cell>
        </row>
        <row r="38">
          <cell r="B38" t="str">
            <v>xG sofridos (xGC)</v>
          </cell>
          <cell r="M38">
            <v>1.2000000000000002</v>
          </cell>
        </row>
      </sheetData>
      <sheetData sheetId="36">
        <row r="2">
          <cell r="B2" t="str">
            <v>Assistência esperada (xA)</v>
          </cell>
          <cell r="M2">
            <v>1.8800000000000001</v>
          </cell>
        </row>
        <row r="3">
          <cell r="B3" t="str">
            <v>Ataque</v>
          </cell>
          <cell r="M3">
            <v>107</v>
          </cell>
        </row>
        <row r="4">
          <cell r="B4" t="str">
            <v>Cartões amarelos</v>
          </cell>
          <cell r="M4">
            <v>1.5</v>
          </cell>
        </row>
        <row r="5">
          <cell r="B5" t="str">
            <v>Cartões vermelhos</v>
          </cell>
          <cell r="M5">
            <v>0.1</v>
          </cell>
        </row>
        <row r="6">
          <cell r="B6" t="str">
            <v>Chances perigosas criadas</v>
          </cell>
          <cell r="M6">
            <v>3.7</v>
          </cell>
        </row>
        <row r="7">
          <cell r="B7" t="str">
            <v>Chutes bloqueados</v>
          </cell>
          <cell r="M7">
            <v>4.5999999999999996</v>
          </cell>
        </row>
        <row r="8">
          <cell r="B8" t="str">
            <v>Chutes dentro da área</v>
          </cell>
          <cell r="M8">
            <v>12.6</v>
          </cell>
        </row>
        <row r="9">
          <cell r="B9" t="str">
            <v>Chutes fora da área</v>
          </cell>
          <cell r="M9">
            <v>6.9</v>
          </cell>
        </row>
        <row r="10">
          <cell r="B10" t="str">
            <v>Chutes no gol</v>
          </cell>
          <cell r="M10">
            <v>6.5</v>
          </cell>
        </row>
        <row r="11">
          <cell r="B11" t="str">
            <v>Chutes para fora</v>
          </cell>
          <cell r="M11">
            <v>8.4</v>
          </cell>
        </row>
        <row r="12">
          <cell r="B12" t="str">
            <v>Defesas do goleiro</v>
          </cell>
          <cell r="M12">
            <v>2.1</v>
          </cell>
        </row>
        <row r="13">
          <cell r="B13" t="str">
            <v>Driblado</v>
          </cell>
          <cell r="M13">
            <v>8</v>
          </cell>
        </row>
        <row r="14">
          <cell r="B14" t="str">
            <v>Duelos ganhos</v>
          </cell>
          <cell r="M14">
            <v>38.799999999999997</v>
          </cell>
        </row>
        <row r="15">
          <cell r="B15" t="str">
            <v>Escanteios</v>
          </cell>
          <cell r="M15">
            <v>5.9</v>
          </cell>
        </row>
        <row r="16">
          <cell r="B16" t="str">
            <v>Faltas</v>
          </cell>
          <cell r="M16">
            <v>8.1</v>
          </cell>
        </row>
        <row r="17">
          <cell r="B17" t="str">
            <v>Faltas sofridas</v>
          </cell>
          <cell r="M17">
            <v>10.1</v>
          </cell>
        </row>
        <row r="18">
          <cell r="B18" t="str">
            <v>Gol sofrido devido a erro individual</v>
          </cell>
          <cell r="M18">
            <v>0.5</v>
          </cell>
        </row>
        <row r="19">
          <cell r="B19" t="str">
            <v>Gols esperados (xG)</v>
          </cell>
          <cell r="M19">
            <v>2.67</v>
          </cell>
        </row>
        <row r="20">
          <cell r="B20" t="str">
            <v>Gols esperados em chutes no alvo</v>
          </cell>
          <cell r="M20">
            <v>2.4810000000000003</v>
          </cell>
        </row>
        <row r="21">
          <cell r="B21" t="str">
            <v>Grandes chances perdidas</v>
          </cell>
          <cell r="M21">
            <v>2.4444444444444446</v>
          </cell>
        </row>
        <row r="22">
          <cell r="B22" t="str">
            <v>Impedimentos</v>
          </cell>
          <cell r="M22">
            <v>2.1</v>
          </cell>
        </row>
        <row r="23">
          <cell r="B23" t="str">
            <v>Interceptações</v>
          </cell>
          <cell r="M23">
            <v>6.4</v>
          </cell>
        </row>
        <row r="24">
          <cell r="B24" t="str">
            <v>Laterais cobrados</v>
          </cell>
          <cell r="M24">
            <v>17.399999999999999</v>
          </cell>
        </row>
        <row r="25">
          <cell r="B25" t="str">
            <v>Passes completos</v>
          </cell>
          <cell r="M25">
            <v>564.79999999999995</v>
          </cell>
        </row>
        <row r="26">
          <cell r="B26" t="str">
            <v>Passes decisivos</v>
          </cell>
          <cell r="M26">
            <v>14.3</v>
          </cell>
        </row>
        <row r="27">
          <cell r="B27" t="str">
            <v>Passes no campo adversário</v>
          </cell>
          <cell r="M27">
            <v>426</v>
          </cell>
        </row>
        <row r="28">
          <cell r="B28" t="str">
            <v>Passes no próprio campo</v>
          </cell>
          <cell r="M28">
            <v>220.8</v>
          </cell>
        </row>
        <row r="29">
          <cell r="B29" t="str">
            <v>Passes no último terço</v>
          </cell>
          <cell r="M29">
            <v>192</v>
          </cell>
        </row>
        <row r="30">
          <cell r="B30" t="str">
            <v>Passes para trás</v>
          </cell>
          <cell r="M30">
            <v>105.9</v>
          </cell>
        </row>
        <row r="31">
          <cell r="B31" t="str">
            <v>Perigo afastado</v>
          </cell>
          <cell r="M31">
            <v>12.7</v>
          </cell>
        </row>
        <row r="32">
          <cell r="B32" t="str">
            <v>Posse de Bola</v>
          </cell>
          <cell r="M32">
            <v>0.6409999999999999</v>
          </cell>
        </row>
        <row r="33">
          <cell r="B33" t="str">
            <v>Posse de bola perdida</v>
          </cell>
          <cell r="M33">
            <v>105.4</v>
          </cell>
        </row>
        <row r="34">
          <cell r="B34" t="str">
            <v>Posse recuperada no terço final</v>
          </cell>
          <cell r="M34">
            <v>4.5</v>
          </cell>
        </row>
        <row r="35">
          <cell r="B35" t="str">
            <v>Tiros de meta</v>
          </cell>
          <cell r="M35">
            <v>5.4</v>
          </cell>
        </row>
        <row r="36">
          <cell r="B36" t="str">
            <v>Total de chutes</v>
          </cell>
          <cell r="M36">
            <v>19.5</v>
          </cell>
        </row>
        <row r="37">
          <cell r="B37" t="str">
            <v>Trave</v>
          </cell>
          <cell r="M37">
            <v>0.8</v>
          </cell>
        </row>
        <row r="38">
          <cell r="B38" t="str">
            <v>xG sofridos (xGC)</v>
          </cell>
          <cell r="M38">
            <v>0.95</v>
          </cell>
        </row>
      </sheetData>
      <sheetData sheetId="37">
        <row r="2">
          <cell r="B2" t="str">
            <v>Assistência esperada (xA)</v>
          </cell>
          <cell r="M2">
            <v>1.0725</v>
          </cell>
        </row>
        <row r="3">
          <cell r="B3" t="str">
            <v>Ataque</v>
          </cell>
          <cell r="M3">
            <v>80.888888888888886</v>
          </cell>
        </row>
        <row r="4">
          <cell r="B4" t="str">
            <v>Cartões amarelos</v>
          </cell>
          <cell r="M4">
            <v>0.7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2.2000000000000002</v>
          </cell>
        </row>
        <row r="7">
          <cell r="B7" t="str">
            <v>Chutes bloqueados</v>
          </cell>
          <cell r="M7">
            <v>3</v>
          </cell>
        </row>
        <row r="8">
          <cell r="B8" t="str">
            <v>Chutes dentro da área</v>
          </cell>
          <cell r="M8">
            <v>9</v>
          </cell>
        </row>
        <row r="9">
          <cell r="B9" t="str">
            <v>Chutes fora da área</v>
          </cell>
          <cell r="M9">
            <v>5.2</v>
          </cell>
        </row>
        <row r="10">
          <cell r="B10" t="str">
            <v>Chutes no gol</v>
          </cell>
          <cell r="M10">
            <v>3.5</v>
          </cell>
        </row>
        <row r="11">
          <cell r="B11" t="str">
            <v>Chutes para fora</v>
          </cell>
          <cell r="M11">
            <v>6.375</v>
          </cell>
        </row>
        <row r="12">
          <cell r="B12" t="str">
            <v>Defesas do goleiro</v>
          </cell>
          <cell r="M12">
            <v>2.2000000000000002</v>
          </cell>
        </row>
        <row r="13">
          <cell r="B13" t="str">
            <v>Driblado</v>
          </cell>
          <cell r="M13">
            <v>8.1999999999999993</v>
          </cell>
        </row>
        <row r="14">
          <cell r="B14" t="str">
            <v>Duelos ganhos</v>
          </cell>
          <cell r="M14">
            <v>51</v>
          </cell>
        </row>
        <row r="15">
          <cell r="B15" t="str">
            <v>Escanteios</v>
          </cell>
          <cell r="M15">
            <v>4.7</v>
          </cell>
        </row>
        <row r="16">
          <cell r="B16" t="str">
            <v>Faltas</v>
          </cell>
          <cell r="M16">
            <v>16.8</v>
          </cell>
        </row>
        <row r="17">
          <cell r="B17" t="str">
            <v>Faltas sofridas</v>
          </cell>
          <cell r="M17">
            <v>12.4</v>
          </cell>
        </row>
        <row r="18">
          <cell r="B18" t="str">
            <v>Gol sofrido devido a erro individual</v>
          </cell>
          <cell r="M18">
            <v>0.5</v>
          </cell>
        </row>
        <row r="19">
          <cell r="B19" t="str">
            <v>Gols esperados (xG)</v>
          </cell>
          <cell r="M19">
            <v>1.6</v>
          </cell>
        </row>
        <row r="20">
          <cell r="B20" t="str">
            <v>Gols esperados em chutes no alvo</v>
          </cell>
          <cell r="M20">
            <v>1.645</v>
          </cell>
        </row>
        <row r="21">
          <cell r="B21" t="str">
            <v>Grandes chances perdidas</v>
          </cell>
          <cell r="M21">
            <v>1.25</v>
          </cell>
        </row>
        <row r="22">
          <cell r="B22" t="str">
            <v>Impedimentos</v>
          </cell>
          <cell r="M22">
            <v>2.5555555555555554</v>
          </cell>
        </row>
        <row r="23">
          <cell r="B23" t="str">
            <v>Interceptações</v>
          </cell>
          <cell r="M23">
            <v>7.6</v>
          </cell>
        </row>
        <row r="24">
          <cell r="B24" t="str">
            <v>Laterais cobrados</v>
          </cell>
          <cell r="M24">
            <v>21.333333333333332</v>
          </cell>
        </row>
        <row r="25">
          <cell r="B25" t="str">
            <v>Passes completos</v>
          </cell>
          <cell r="M25">
            <v>329.8</v>
          </cell>
        </row>
        <row r="26">
          <cell r="B26" t="str">
            <v>Passes decisivos</v>
          </cell>
          <cell r="M26">
            <v>10.8</v>
          </cell>
        </row>
        <row r="27">
          <cell r="B27" t="str">
            <v>Passes no campo adversário</v>
          </cell>
          <cell r="M27">
            <v>242.8</v>
          </cell>
        </row>
        <row r="28">
          <cell r="B28" t="str">
            <v>Passes no próprio campo</v>
          </cell>
          <cell r="M28">
            <v>179.6</v>
          </cell>
        </row>
        <row r="29">
          <cell r="B29" t="str">
            <v>Passes no último terço</v>
          </cell>
          <cell r="M29">
            <v>88.8</v>
          </cell>
        </row>
        <row r="30">
          <cell r="B30" t="str">
            <v>Passes para trás</v>
          </cell>
          <cell r="M30">
            <v>58.4</v>
          </cell>
        </row>
        <row r="31">
          <cell r="B31" t="str">
            <v>Perigo afastado</v>
          </cell>
          <cell r="M31">
            <v>27</v>
          </cell>
        </row>
        <row r="32">
          <cell r="B32" t="str">
            <v>Posse de Bola</v>
          </cell>
          <cell r="M32">
            <v>0.54555555555555546</v>
          </cell>
        </row>
        <row r="33">
          <cell r="B33" t="str">
            <v>Posse de bola perdida</v>
          </cell>
          <cell r="M33">
            <v>131.4</v>
          </cell>
        </row>
        <row r="34">
          <cell r="B34" t="str">
            <v>Posse recuperada no terço final</v>
          </cell>
          <cell r="M34">
            <v>4</v>
          </cell>
        </row>
        <row r="35">
          <cell r="B35" t="str">
            <v>Tiros de meta</v>
          </cell>
          <cell r="M35">
            <v>9.2222222222222214</v>
          </cell>
        </row>
        <row r="36">
          <cell r="B36" t="str">
            <v>Total de chutes</v>
          </cell>
          <cell r="M36">
            <v>12.142857142857142</v>
          </cell>
        </row>
        <row r="37">
          <cell r="B37" t="str">
            <v>Trave</v>
          </cell>
          <cell r="M37">
            <v>0.2</v>
          </cell>
        </row>
        <row r="38">
          <cell r="B38" t="str">
            <v>xG sofridos (xGC)</v>
          </cell>
          <cell r="M38">
            <v>0.86749999999999994</v>
          </cell>
        </row>
      </sheetData>
      <sheetData sheetId="38">
        <row r="2">
          <cell r="B2" t="str">
            <v>Assistência esperada (xA)</v>
          </cell>
          <cell r="M2">
            <v>1.3422222222222222</v>
          </cell>
        </row>
        <row r="3">
          <cell r="B3" t="str">
            <v>Ataque</v>
          </cell>
          <cell r="M3">
            <v>82</v>
          </cell>
        </row>
        <row r="4">
          <cell r="B4" t="str">
            <v>Cartões amarelos</v>
          </cell>
          <cell r="M4">
            <v>1.2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2.7777777777777777</v>
          </cell>
        </row>
        <row r="7">
          <cell r="B7" t="str">
            <v>Chutes bloqueados</v>
          </cell>
          <cell r="M7">
            <v>4.3</v>
          </cell>
        </row>
        <row r="8">
          <cell r="B8" t="str">
            <v>Chutes dentro da área</v>
          </cell>
          <cell r="M8">
            <v>9.4444444444444446</v>
          </cell>
        </row>
        <row r="9">
          <cell r="B9" t="str">
            <v>Chutes fora da área</v>
          </cell>
          <cell r="M9">
            <v>4.4444444444444446</v>
          </cell>
        </row>
        <row r="10">
          <cell r="B10" t="str">
            <v>Chutes no gol</v>
          </cell>
          <cell r="M10">
            <v>4.7</v>
          </cell>
        </row>
        <row r="11">
          <cell r="B11" t="str">
            <v>Chutes para fora</v>
          </cell>
          <cell r="M11">
            <v>5.5</v>
          </cell>
        </row>
        <row r="12">
          <cell r="B12" t="str">
            <v>Defesas do goleiro</v>
          </cell>
          <cell r="M12">
            <v>2.7777777777777777</v>
          </cell>
        </row>
        <row r="13">
          <cell r="B13" t="str">
            <v>Driblado</v>
          </cell>
          <cell r="M13">
            <v>5.7777777777777777</v>
          </cell>
        </row>
        <row r="14">
          <cell r="B14" t="str">
            <v>Duelos ganhos</v>
          </cell>
          <cell r="M14">
            <v>51.111111111111114</v>
          </cell>
        </row>
        <row r="15">
          <cell r="B15" t="str">
            <v>Escanteios</v>
          </cell>
          <cell r="M15">
            <v>6.4</v>
          </cell>
        </row>
        <row r="16">
          <cell r="B16" t="str">
            <v>Faltas</v>
          </cell>
          <cell r="M16">
            <v>17.111111111111111</v>
          </cell>
        </row>
        <row r="17">
          <cell r="B17" t="str">
            <v>Faltas sofridas</v>
          </cell>
          <cell r="M17">
            <v>9.3333333333333339</v>
          </cell>
        </row>
        <row r="18">
          <cell r="B18" t="str">
            <v>Gol sofrido devido a erro individual</v>
          </cell>
          <cell r="M18">
            <v>1</v>
          </cell>
        </row>
        <row r="19">
          <cell r="B19" t="str">
            <v>Gols esperados (xG)</v>
          </cell>
          <cell r="M19">
            <v>1.8166666666666669</v>
          </cell>
        </row>
        <row r="20">
          <cell r="B20" t="str">
            <v>Gols esperados em chutes no alvo</v>
          </cell>
          <cell r="M20">
            <v>1.7588888888888889</v>
          </cell>
        </row>
        <row r="21">
          <cell r="B21" t="str">
            <v>Grandes chances perdidas</v>
          </cell>
          <cell r="M21">
            <v>1.5555555555555556</v>
          </cell>
        </row>
        <row r="22">
          <cell r="B22" t="str">
            <v>Impedimentos</v>
          </cell>
          <cell r="M22">
            <v>2.4</v>
          </cell>
        </row>
        <row r="23">
          <cell r="B23" t="str">
            <v>Interceptações</v>
          </cell>
          <cell r="M23">
            <v>9.1111111111111107</v>
          </cell>
        </row>
        <row r="24">
          <cell r="B24" t="str">
            <v>Laterais cobrados</v>
          </cell>
          <cell r="M24">
            <v>23</v>
          </cell>
        </row>
        <row r="25">
          <cell r="B25" t="str">
            <v>Passes completos</v>
          </cell>
          <cell r="M25">
            <v>322.33333333333331</v>
          </cell>
        </row>
        <row r="26">
          <cell r="B26" t="str">
            <v>Passes decisivos</v>
          </cell>
          <cell r="M26">
            <v>10.111111111111111</v>
          </cell>
        </row>
        <row r="27">
          <cell r="B27" t="str">
            <v>Passes no campo adversário</v>
          </cell>
          <cell r="M27">
            <v>272.33333333333331</v>
          </cell>
        </row>
        <row r="28">
          <cell r="B28" t="str">
            <v>Passes no próprio campo</v>
          </cell>
          <cell r="M28">
            <v>165.77777777777777</v>
          </cell>
        </row>
        <row r="29">
          <cell r="B29" t="str">
            <v>Passes no último terço</v>
          </cell>
          <cell r="M29">
            <v>95.444444444444443</v>
          </cell>
        </row>
        <row r="30">
          <cell r="B30" t="str">
            <v>Passes para trás</v>
          </cell>
          <cell r="M30">
            <v>59.111111111111114</v>
          </cell>
        </row>
        <row r="31">
          <cell r="B31" t="str">
            <v>Perigo afastado</v>
          </cell>
          <cell r="M31">
            <v>27.222222222222221</v>
          </cell>
        </row>
        <row r="32">
          <cell r="B32" t="str">
            <v>Posse de Bola</v>
          </cell>
          <cell r="M32">
            <v>0.505</v>
          </cell>
        </row>
        <row r="33">
          <cell r="B33" t="str">
            <v>Posse de bola perdida</v>
          </cell>
          <cell r="M33">
            <v>146.44444444444446</v>
          </cell>
        </row>
        <row r="34">
          <cell r="B34" t="str">
            <v>Posse recuperada no terço final</v>
          </cell>
          <cell r="M34">
            <v>5.1111111111111107</v>
          </cell>
        </row>
        <row r="35">
          <cell r="B35" t="str">
            <v>Tiros de meta</v>
          </cell>
          <cell r="M35">
            <v>5.2</v>
          </cell>
        </row>
        <row r="36">
          <cell r="B36" t="str">
            <v>Total de chutes</v>
          </cell>
          <cell r="M36">
            <v>14.5</v>
          </cell>
        </row>
        <row r="37">
          <cell r="B37" t="str">
            <v>Trave</v>
          </cell>
          <cell r="M37">
            <v>0.44444444444444442</v>
          </cell>
        </row>
        <row r="38">
          <cell r="B38" t="str">
            <v>xG sofridos (xGC)</v>
          </cell>
          <cell r="M38">
            <v>1.0699999999999998</v>
          </cell>
        </row>
      </sheetData>
      <sheetData sheetId="39">
        <row r="2">
          <cell r="B2" t="str">
            <v>Assistência esperada (xA)</v>
          </cell>
          <cell r="L2">
            <v>1.14625</v>
          </cell>
        </row>
        <row r="3">
          <cell r="B3" t="str">
            <v>Ataque</v>
          </cell>
          <cell r="L3">
            <v>86.555555555555557</v>
          </cell>
        </row>
        <row r="4">
          <cell r="B4" t="str">
            <v>Cartões amarelos</v>
          </cell>
          <cell r="L4">
            <v>2.1111111111111112</v>
          </cell>
        </row>
        <row r="5">
          <cell r="B5" t="str">
            <v>Cartões vermelhos</v>
          </cell>
          <cell r="L5">
            <v>0.1111111111111111</v>
          </cell>
        </row>
        <row r="6">
          <cell r="B6" t="str">
            <v>Chances perigosas criadas</v>
          </cell>
          <cell r="L6">
            <v>3.25</v>
          </cell>
        </row>
        <row r="7">
          <cell r="B7" t="str">
            <v>Chutes bloqueados</v>
          </cell>
          <cell r="L7">
            <v>2.75</v>
          </cell>
        </row>
        <row r="8">
          <cell r="B8" t="str">
            <v>Chutes dentro da área</v>
          </cell>
          <cell r="L8">
            <v>10.125</v>
          </cell>
        </row>
        <row r="9">
          <cell r="B9" t="str">
            <v>Chutes fora da área</v>
          </cell>
          <cell r="L9">
            <v>4.875</v>
          </cell>
        </row>
        <row r="10">
          <cell r="B10" t="str">
            <v>Chutes no gol</v>
          </cell>
          <cell r="L10">
            <v>7.666666666666667</v>
          </cell>
        </row>
        <row r="11">
          <cell r="B11" t="str">
            <v>Chutes para fora</v>
          </cell>
          <cell r="L11">
            <v>5</v>
          </cell>
        </row>
        <row r="12">
          <cell r="B12" t="str">
            <v>Defesas do goleiro</v>
          </cell>
          <cell r="L12">
            <v>2.125</v>
          </cell>
        </row>
        <row r="13">
          <cell r="B13" t="str">
            <v>Driblado</v>
          </cell>
          <cell r="L13">
            <v>9.875</v>
          </cell>
        </row>
        <row r="14">
          <cell r="B14" t="str">
            <v>Duelos ganhos</v>
          </cell>
          <cell r="L14">
            <v>50.25</v>
          </cell>
        </row>
        <row r="15">
          <cell r="B15" t="str">
            <v>Escanteios</v>
          </cell>
          <cell r="L15">
            <v>6.333333333333333</v>
          </cell>
        </row>
        <row r="16">
          <cell r="B16" t="str">
            <v>Faltas</v>
          </cell>
          <cell r="L16">
            <v>16.625</v>
          </cell>
        </row>
        <row r="17">
          <cell r="B17" t="str">
            <v>Faltas sofridas</v>
          </cell>
          <cell r="L17">
            <v>12.5</v>
          </cell>
        </row>
        <row r="18">
          <cell r="B18" t="str">
            <v>Gol sofrido devido a erro individual</v>
          </cell>
          <cell r="L18">
            <v>0.16666666666666666</v>
          </cell>
        </row>
        <row r="19">
          <cell r="B19" t="str">
            <v>Gols esperados (xG)</v>
          </cell>
          <cell r="L19">
            <v>1.92875</v>
          </cell>
        </row>
        <row r="20">
          <cell r="B20" t="str">
            <v>Gols esperados em chutes no alvo</v>
          </cell>
          <cell r="L20">
            <v>2.335</v>
          </cell>
        </row>
        <row r="21">
          <cell r="B21" t="str">
            <v>Grandes chances perdidas</v>
          </cell>
          <cell r="L21">
            <v>2.8333333333333335</v>
          </cell>
        </row>
        <row r="22">
          <cell r="B22" t="str">
            <v>Impedimentos</v>
          </cell>
          <cell r="L22">
            <v>1.1111111111111112</v>
          </cell>
        </row>
        <row r="23">
          <cell r="B23" t="str">
            <v>Interceptações</v>
          </cell>
          <cell r="L23">
            <v>7.375</v>
          </cell>
        </row>
        <row r="24">
          <cell r="B24" t="str">
            <v>Laterais cobrados</v>
          </cell>
          <cell r="L24">
            <v>16.888888888888889</v>
          </cell>
        </row>
        <row r="25">
          <cell r="B25" t="str">
            <v>Passes completos</v>
          </cell>
          <cell r="L25">
            <v>457.875</v>
          </cell>
        </row>
        <row r="26">
          <cell r="B26" t="str">
            <v>Passes decisivos</v>
          </cell>
          <cell r="L26">
            <v>11.125</v>
          </cell>
        </row>
        <row r="27">
          <cell r="B27" t="str">
            <v>Passes no campo adversário</v>
          </cell>
          <cell r="L27">
            <v>311.25</v>
          </cell>
        </row>
        <row r="28">
          <cell r="B28" t="str">
            <v>Passes no próprio campo</v>
          </cell>
          <cell r="L28">
            <v>234.625</v>
          </cell>
        </row>
        <row r="29">
          <cell r="B29" t="str">
            <v>Passes no último terço</v>
          </cell>
          <cell r="L29">
            <v>106.125</v>
          </cell>
        </row>
        <row r="30">
          <cell r="B30" t="str">
            <v>Passes para trás</v>
          </cell>
          <cell r="L30">
            <v>84</v>
          </cell>
        </row>
        <row r="31">
          <cell r="B31" t="str">
            <v>Perigo afastado</v>
          </cell>
          <cell r="L31">
            <v>20.25</v>
          </cell>
        </row>
        <row r="32">
          <cell r="B32" t="str">
            <v>Posse de Bola</v>
          </cell>
          <cell r="L32">
            <v>0.61111111111111105</v>
          </cell>
        </row>
        <row r="33">
          <cell r="B33" t="str">
            <v>Posse de bola perdida</v>
          </cell>
          <cell r="L33">
            <v>121.5</v>
          </cell>
        </row>
        <row r="34">
          <cell r="B34" t="str">
            <v>Posse recuperada no terço final</v>
          </cell>
          <cell r="L34">
            <v>5</v>
          </cell>
        </row>
        <row r="35">
          <cell r="B35" t="str">
            <v>Tiros de meta</v>
          </cell>
          <cell r="L35">
            <v>5.7777777777777777</v>
          </cell>
        </row>
        <row r="36">
          <cell r="B36" t="str">
            <v>Total de chutes</v>
          </cell>
          <cell r="L36">
            <v>15.111111111111111</v>
          </cell>
        </row>
        <row r="37">
          <cell r="B37" t="str">
            <v>Trave</v>
          </cell>
          <cell r="L37">
            <v>0.125</v>
          </cell>
        </row>
        <row r="38">
          <cell r="B38" t="str">
            <v>xG sofridos (xGC)</v>
          </cell>
          <cell r="L38">
            <v>0.77750000000000008</v>
          </cell>
        </row>
      </sheetData>
      <sheetData sheetId="40">
        <row r="2">
          <cell r="B2" t="str">
            <v>Assistência esperada (xA)</v>
          </cell>
          <cell r="M2">
            <v>0.94700000000000006</v>
          </cell>
        </row>
        <row r="3">
          <cell r="B3" t="str">
            <v>Ataque</v>
          </cell>
          <cell r="M3">
            <v>68.2</v>
          </cell>
        </row>
        <row r="4">
          <cell r="B4" t="str">
            <v>Cartões amarelos</v>
          </cell>
          <cell r="M4">
            <v>2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1.9</v>
          </cell>
        </row>
        <row r="7">
          <cell r="B7" t="str">
            <v>Chutes bloqueados</v>
          </cell>
          <cell r="M7">
            <v>2.2000000000000002</v>
          </cell>
        </row>
        <row r="8">
          <cell r="B8" t="str">
            <v>Chutes dentro da área</v>
          </cell>
          <cell r="M8">
            <v>7.9</v>
          </cell>
        </row>
        <row r="9">
          <cell r="B9" t="str">
            <v>Chutes fora da área</v>
          </cell>
          <cell r="M9">
            <v>2.1</v>
          </cell>
        </row>
        <row r="10">
          <cell r="B10" t="str">
            <v>Chutes no gol</v>
          </cell>
          <cell r="M10">
            <v>3.9</v>
          </cell>
        </row>
        <row r="11">
          <cell r="B11" t="str">
            <v>Chutes para fora</v>
          </cell>
          <cell r="M11">
            <v>4.0999999999999996</v>
          </cell>
        </row>
        <row r="12">
          <cell r="B12" t="str">
            <v>Defesas do goleiro</v>
          </cell>
          <cell r="M12">
            <v>3.2</v>
          </cell>
        </row>
        <row r="13">
          <cell r="B13" t="str">
            <v>Driblado</v>
          </cell>
          <cell r="M13">
            <v>8</v>
          </cell>
        </row>
        <row r="14">
          <cell r="B14" t="str">
            <v>Duelos ganhos</v>
          </cell>
          <cell r="M14">
            <v>38.799999999999997</v>
          </cell>
        </row>
        <row r="15">
          <cell r="B15" t="str">
            <v>Escanteios</v>
          </cell>
          <cell r="M15">
            <v>5.2</v>
          </cell>
        </row>
        <row r="16">
          <cell r="B16" t="str">
            <v>Faltas</v>
          </cell>
          <cell r="M16">
            <v>14.8</v>
          </cell>
        </row>
        <row r="17">
          <cell r="B17" t="str">
            <v>Faltas sofridas</v>
          </cell>
          <cell r="M17">
            <v>12</v>
          </cell>
        </row>
        <row r="18">
          <cell r="B18" t="str">
            <v>Gol sofrido devido a erro individual</v>
          </cell>
          <cell r="M18">
            <v>0.75</v>
          </cell>
        </row>
        <row r="19">
          <cell r="B19" t="str">
            <v>Gols esperados (xG)</v>
          </cell>
          <cell r="M19">
            <v>1.292</v>
          </cell>
        </row>
        <row r="20">
          <cell r="B20" t="str">
            <v>Gols esperados em chutes no alvo</v>
          </cell>
          <cell r="M20">
            <v>1.452</v>
          </cell>
        </row>
        <row r="21">
          <cell r="B21" t="str">
            <v>Grandes chances perdidas</v>
          </cell>
          <cell r="M21">
            <v>1.3333333333333333</v>
          </cell>
        </row>
        <row r="22">
          <cell r="B22" t="str">
            <v>Impedimentos</v>
          </cell>
          <cell r="M22">
            <v>1.5</v>
          </cell>
        </row>
        <row r="23">
          <cell r="B23" t="str">
            <v>Interceptações</v>
          </cell>
          <cell r="M23">
            <v>10.199999999999999</v>
          </cell>
        </row>
        <row r="24">
          <cell r="B24" t="str">
            <v>Laterais cobrados</v>
          </cell>
          <cell r="M24">
            <v>18.899999999999999</v>
          </cell>
        </row>
        <row r="25">
          <cell r="B25" t="str">
            <v>Passes completos</v>
          </cell>
          <cell r="M25">
            <v>372</v>
          </cell>
        </row>
        <row r="26">
          <cell r="B26" t="str">
            <v>Passes decisivos</v>
          </cell>
          <cell r="M26">
            <v>7.6</v>
          </cell>
        </row>
        <row r="27">
          <cell r="B27" t="str">
            <v>Passes no campo adversário</v>
          </cell>
          <cell r="M27">
            <v>267.39999999999998</v>
          </cell>
        </row>
        <row r="28">
          <cell r="B28" t="str">
            <v>Passes no próprio campo</v>
          </cell>
          <cell r="M28">
            <v>197.7</v>
          </cell>
        </row>
        <row r="29">
          <cell r="B29" t="str">
            <v>Passes no último terço</v>
          </cell>
          <cell r="M29">
            <v>91.9</v>
          </cell>
        </row>
        <row r="30">
          <cell r="B30" t="str">
            <v>Passes para trás</v>
          </cell>
          <cell r="M30">
            <v>73.8</v>
          </cell>
        </row>
        <row r="31">
          <cell r="B31" t="str">
            <v>Perigo afastado</v>
          </cell>
          <cell r="M31">
            <v>22.4</v>
          </cell>
        </row>
        <row r="32">
          <cell r="B32" t="str">
            <v>Posse de Bola</v>
          </cell>
          <cell r="M32">
            <v>0.499</v>
          </cell>
        </row>
        <row r="33">
          <cell r="B33" t="str">
            <v>Posse de bola perdida</v>
          </cell>
          <cell r="M33">
            <v>127.5</v>
          </cell>
        </row>
        <row r="34">
          <cell r="B34" t="str">
            <v>Posse recuperada no terço final</v>
          </cell>
          <cell r="M34">
            <v>3.2</v>
          </cell>
        </row>
        <row r="35">
          <cell r="B35" t="str">
            <v>Tiros de meta</v>
          </cell>
          <cell r="M35">
            <v>6.7</v>
          </cell>
        </row>
        <row r="36">
          <cell r="B36" t="str">
            <v>Total de chutes</v>
          </cell>
          <cell r="M36">
            <v>10</v>
          </cell>
        </row>
        <row r="37">
          <cell r="B37" t="str">
            <v>Trave</v>
          </cell>
          <cell r="M37">
            <v>0.4</v>
          </cell>
        </row>
        <row r="38">
          <cell r="B38" t="str">
            <v>xG sofridos (xGC)</v>
          </cell>
          <cell r="M38">
            <v>1.7579999999999998</v>
          </cell>
        </row>
      </sheetData>
      <sheetData sheetId="41">
        <row r="2">
          <cell r="B2" t="str">
            <v>Assistência esperada (xA)</v>
          </cell>
          <cell r="M2">
            <v>0.94899999999999984</v>
          </cell>
        </row>
        <row r="3">
          <cell r="B3" t="str">
            <v>Ataque</v>
          </cell>
          <cell r="M3">
            <v>91.1</v>
          </cell>
        </row>
        <row r="4">
          <cell r="B4" t="str">
            <v>Cartões amarelos</v>
          </cell>
          <cell r="M4">
            <v>0.6</v>
          </cell>
        </row>
        <row r="5">
          <cell r="B5" t="str">
            <v>Cartões vermelhos</v>
          </cell>
          <cell r="M5">
            <v>0</v>
          </cell>
        </row>
        <row r="6">
          <cell r="B6" t="str">
            <v>Chances perigosas criadas</v>
          </cell>
          <cell r="M6">
            <v>2.4</v>
          </cell>
        </row>
        <row r="7">
          <cell r="B7" t="str">
            <v>Chutes bloqueados</v>
          </cell>
          <cell r="M7">
            <v>2.5</v>
          </cell>
        </row>
        <row r="8">
          <cell r="B8" t="str">
            <v>Chutes dentro da área</v>
          </cell>
          <cell r="M8">
            <v>6.6</v>
          </cell>
        </row>
        <row r="9">
          <cell r="B9" t="str">
            <v>Chutes fora da área</v>
          </cell>
          <cell r="M9">
            <v>3.8</v>
          </cell>
        </row>
        <row r="10">
          <cell r="B10" t="str">
            <v>Chutes no gol</v>
          </cell>
          <cell r="M10">
            <v>4.3</v>
          </cell>
        </row>
        <row r="11">
          <cell r="B11" t="str">
            <v>Chutes para fora</v>
          </cell>
          <cell r="M11">
            <v>3.6</v>
          </cell>
        </row>
        <row r="12">
          <cell r="B12" t="str">
            <v>Defesas do goleiro</v>
          </cell>
          <cell r="M12">
            <v>1.5</v>
          </cell>
        </row>
        <row r="13">
          <cell r="B13" t="str">
            <v>Driblado</v>
          </cell>
          <cell r="M13">
            <v>7.5</v>
          </cell>
        </row>
        <row r="14">
          <cell r="B14" t="str">
            <v>Duelos ganhos</v>
          </cell>
          <cell r="M14">
            <v>42.9</v>
          </cell>
        </row>
        <row r="15">
          <cell r="B15" t="str">
            <v>Escanteios</v>
          </cell>
          <cell r="M15">
            <v>3.7</v>
          </cell>
        </row>
        <row r="16">
          <cell r="B16" t="str">
            <v>Faltas</v>
          </cell>
          <cell r="M16">
            <v>9</v>
          </cell>
        </row>
        <row r="17">
          <cell r="B17" t="str">
            <v>Faltas sofridas</v>
          </cell>
          <cell r="M17">
            <v>10.4</v>
          </cell>
        </row>
        <row r="18">
          <cell r="B18" t="str">
            <v>Gols esperados (xG)</v>
          </cell>
          <cell r="M18">
            <v>1.2790000000000001</v>
          </cell>
        </row>
        <row r="19">
          <cell r="B19" t="str">
            <v>Gols esperados em chutes no alvo</v>
          </cell>
          <cell r="M19">
            <v>1.5229999999999999</v>
          </cell>
        </row>
        <row r="20">
          <cell r="B20" t="str">
            <v>Grandes chances perdidas</v>
          </cell>
          <cell r="M20">
            <v>1.2222222222222223</v>
          </cell>
        </row>
        <row r="21">
          <cell r="B21" t="str">
            <v>Impedimentos</v>
          </cell>
          <cell r="M21">
            <v>1.2</v>
          </cell>
        </row>
        <row r="22">
          <cell r="B22" t="str">
            <v>Interceptações</v>
          </cell>
          <cell r="M22">
            <v>7.3</v>
          </cell>
        </row>
        <row r="23">
          <cell r="B23" t="str">
            <v>Laterais cobrados</v>
          </cell>
          <cell r="M23">
            <v>18.100000000000001</v>
          </cell>
        </row>
        <row r="24">
          <cell r="B24" t="str">
            <v>Passes completos</v>
          </cell>
          <cell r="M24">
            <v>497.9</v>
          </cell>
        </row>
        <row r="25">
          <cell r="B25" t="str">
            <v>Passes decisivos</v>
          </cell>
          <cell r="M25">
            <v>7.5</v>
          </cell>
        </row>
        <row r="26">
          <cell r="B26" t="str">
            <v>Passes no campo adversário</v>
          </cell>
          <cell r="M26">
            <v>288.60000000000002</v>
          </cell>
        </row>
        <row r="27">
          <cell r="B27" t="str">
            <v>Passes no próprio campo</v>
          </cell>
          <cell r="M27">
            <v>293</v>
          </cell>
        </row>
        <row r="28">
          <cell r="B28" t="str">
            <v>Passes no último terço</v>
          </cell>
          <cell r="M28">
            <v>110</v>
          </cell>
        </row>
        <row r="29">
          <cell r="B29" t="str">
            <v>Passes para trás</v>
          </cell>
          <cell r="M29">
            <v>98.5</v>
          </cell>
        </row>
        <row r="30">
          <cell r="B30" t="str">
            <v>Perigo afastado</v>
          </cell>
          <cell r="M30">
            <v>16.2</v>
          </cell>
        </row>
        <row r="31">
          <cell r="B31" t="str">
            <v>Posse de Bola</v>
          </cell>
          <cell r="M31">
            <v>0.57300000000000006</v>
          </cell>
        </row>
        <row r="32">
          <cell r="B32" t="str">
            <v>Posse de bola perdida</v>
          </cell>
          <cell r="M32">
            <v>116.2</v>
          </cell>
        </row>
        <row r="33">
          <cell r="B33" t="str">
            <v>Posse recuperada no terço final</v>
          </cell>
          <cell r="M33">
            <v>4.5</v>
          </cell>
        </row>
        <row r="34">
          <cell r="B34" t="str">
            <v>Tiros de meta</v>
          </cell>
          <cell r="M34">
            <v>6.3</v>
          </cell>
        </row>
        <row r="35">
          <cell r="B35" t="str">
            <v>Total de chutes</v>
          </cell>
          <cell r="M35">
            <v>10.4</v>
          </cell>
        </row>
        <row r="36">
          <cell r="B36" t="str">
            <v>Trave</v>
          </cell>
          <cell r="M36">
            <v>0.2</v>
          </cell>
        </row>
        <row r="37">
          <cell r="B37" t="str">
            <v>xG sofridos (xGC)</v>
          </cell>
          <cell r="M37">
            <v>0.74</v>
          </cell>
        </row>
      </sheetData>
      <sheetData sheetId="42">
        <row r="2">
          <cell r="B2" t="str">
            <v>Assistência esperada (xA)</v>
          </cell>
          <cell r="L2">
            <v>0.88200000000000001</v>
          </cell>
        </row>
        <row r="3">
          <cell r="B3" t="str">
            <v>Ataque</v>
          </cell>
          <cell r="L3">
            <v>94.555555555555557</v>
          </cell>
        </row>
        <row r="4">
          <cell r="B4" t="str">
            <v>Cartões amarelos</v>
          </cell>
          <cell r="L4">
            <v>1.7777777777777777</v>
          </cell>
        </row>
        <row r="5">
          <cell r="B5" t="str">
            <v>Cartões vermelhos</v>
          </cell>
          <cell r="L5">
            <v>0.1111111111111111</v>
          </cell>
        </row>
        <row r="6">
          <cell r="B6" t="str">
            <v>Chances perigosas criadas</v>
          </cell>
          <cell r="L6">
            <v>1.8</v>
          </cell>
        </row>
        <row r="7">
          <cell r="B7" t="str">
            <v>Chutes bloqueados</v>
          </cell>
          <cell r="L7">
            <v>1.7777777777777777</v>
          </cell>
        </row>
        <row r="8">
          <cell r="B8" t="str">
            <v>Chutes dentro da área</v>
          </cell>
          <cell r="L8">
            <v>5.8</v>
          </cell>
        </row>
        <row r="9">
          <cell r="B9" t="str">
            <v>Chutes fora da área</v>
          </cell>
          <cell r="L9">
            <v>3.4</v>
          </cell>
        </row>
        <row r="10">
          <cell r="B10" t="str">
            <v>Chutes no gol</v>
          </cell>
          <cell r="L10">
            <v>4.2222222222222223</v>
          </cell>
        </row>
        <row r="11">
          <cell r="B11" t="str">
            <v>Chutes para fora</v>
          </cell>
          <cell r="L11">
            <v>5.1111111111111107</v>
          </cell>
        </row>
        <row r="12">
          <cell r="B12" t="str">
            <v>Defesas do goleiro</v>
          </cell>
          <cell r="L12">
            <v>1.4</v>
          </cell>
        </row>
        <row r="13">
          <cell r="B13" t="str">
            <v>Driblado</v>
          </cell>
          <cell r="L13">
            <v>11.2</v>
          </cell>
        </row>
        <row r="14">
          <cell r="B14" t="str">
            <v>Duelos ganhos</v>
          </cell>
          <cell r="L14">
            <v>47</v>
          </cell>
        </row>
        <row r="15">
          <cell r="B15" t="str">
            <v>Escanteios</v>
          </cell>
          <cell r="L15">
            <v>5.2222222222222223</v>
          </cell>
        </row>
        <row r="16">
          <cell r="B16" t="str">
            <v>Faltas</v>
          </cell>
          <cell r="L16">
            <v>16.600000000000001</v>
          </cell>
        </row>
        <row r="17">
          <cell r="B17" t="str">
            <v>Faltas sofridas</v>
          </cell>
          <cell r="L17">
            <v>12.6</v>
          </cell>
        </row>
        <row r="18">
          <cell r="B18" t="str">
            <v>Gol sofrido devido a erro individual</v>
          </cell>
          <cell r="L18">
            <v>1</v>
          </cell>
        </row>
        <row r="19">
          <cell r="B19" t="str">
            <v>Gols esperados (xG)</v>
          </cell>
          <cell r="L19">
            <v>0.9860000000000001</v>
          </cell>
        </row>
        <row r="20">
          <cell r="B20" t="str">
            <v>Gols esperados em chutes no alvo</v>
          </cell>
          <cell r="L20">
            <v>1.504</v>
          </cell>
        </row>
        <row r="21">
          <cell r="B21" t="str">
            <v>Grandes chances perdidas</v>
          </cell>
          <cell r="L21">
            <v>1.3333333333333333</v>
          </cell>
        </row>
        <row r="22">
          <cell r="B22" t="str">
            <v>Impedimentos</v>
          </cell>
          <cell r="L22">
            <v>1.3333333333333333</v>
          </cell>
        </row>
        <row r="23">
          <cell r="B23" t="str">
            <v>Interceptações</v>
          </cell>
          <cell r="L23">
            <v>6.8</v>
          </cell>
        </row>
        <row r="24">
          <cell r="B24" t="str">
            <v>Laterais cobrados</v>
          </cell>
          <cell r="L24">
            <v>19.666666666666668</v>
          </cell>
        </row>
        <row r="25">
          <cell r="B25" t="str">
            <v>Passes completos</v>
          </cell>
          <cell r="L25">
            <v>350</v>
          </cell>
        </row>
        <row r="26">
          <cell r="B26" t="str">
            <v>Passes decisivos</v>
          </cell>
          <cell r="L26">
            <v>7</v>
          </cell>
        </row>
        <row r="27">
          <cell r="B27" t="str">
            <v>Passes no campo adversário</v>
          </cell>
          <cell r="L27">
            <v>242</v>
          </cell>
        </row>
        <row r="28">
          <cell r="B28" t="str">
            <v>Passes no próprio campo</v>
          </cell>
          <cell r="L28">
            <v>196.8</v>
          </cell>
        </row>
        <row r="29">
          <cell r="B29" t="str">
            <v>Passes no último terço</v>
          </cell>
          <cell r="L29">
            <v>77</v>
          </cell>
        </row>
        <row r="30">
          <cell r="B30" t="str">
            <v>Passes para trás</v>
          </cell>
          <cell r="L30">
            <v>64.400000000000006</v>
          </cell>
        </row>
        <row r="31">
          <cell r="B31" t="str">
            <v>Perigo afastado</v>
          </cell>
          <cell r="L31">
            <v>20.8</v>
          </cell>
        </row>
        <row r="32">
          <cell r="B32" t="str">
            <v>Posse de Bola</v>
          </cell>
          <cell r="L32">
            <v>0.53666666666666663</v>
          </cell>
        </row>
        <row r="33">
          <cell r="B33" t="str">
            <v>Posse de bola perdida</v>
          </cell>
          <cell r="L33">
            <v>128.80000000000001</v>
          </cell>
        </row>
        <row r="34">
          <cell r="B34" t="str">
            <v>Posse recuperada no terço final</v>
          </cell>
          <cell r="L34">
            <v>3.6</v>
          </cell>
        </row>
        <row r="35">
          <cell r="B35" t="str">
            <v>Tiros de meta</v>
          </cell>
          <cell r="L35">
            <v>7</v>
          </cell>
        </row>
        <row r="36">
          <cell r="B36" t="str">
            <v>Total de chutes</v>
          </cell>
          <cell r="L36">
            <v>11.111111111111111</v>
          </cell>
        </row>
        <row r="37">
          <cell r="B37" t="str">
            <v>Trave</v>
          </cell>
          <cell r="L37">
            <v>0.1111111111111111</v>
          </cell>
        </row>
        <row r="38">
          <cell r="B38" t="str">
            <v>xG sofridos (xGC)</v>
          </cell>
          <cell r="L38">
            <v>0.92999999999999994</v>
          </cell>
        </row>
      </sheetData>
      <sheetData sheetId="43">
        <row r="2">
          <cell r="B2" t="str">
            <v>Assistência esperada (xA)</v>
          </cell>
          <cell r="M2">
            <v>1.01</v>
          </cell>
        </row>
        <row r="3">
          <cell r="B3" t="str">
            <v>Ataque</v>
          </cell>
          <cell r="M3">
            <v>87.2</v>
          </cell>
        </row>
        <row r="4">
          <cell r="B4" t="str">
            <v>Cartões amarelos</v>
          </cell>
          <cell r="M4">
            <v>2.2000000000000002</v>
          </cell>
        </row>
        <row r="5">
          <cell r="B5" t="str">
            <v>Cartões vermelhos</v>
          </cell>
          <cell r="M5">
            <v>0.1</v>
          </cell>
        </row>
        <row r="6">
          <cell r="B6" t="str">
            <v>Chances perigosas criadas</v>
          </cell>
          <cell r="M6">
            <v>1.8</v>
          </cell>
        </row>
        <row r="7">
          <cell r="B7" t="str">
            <v>Chutes bloqueados</v>
          </cell>
          <cell r="M7">
            <v>4.0999999999999996</v>
          </cell>
        </row>
        <row r="8">
          <cell r="B8" t="str">
            <v>Chutes dentro da área</v>
          </cell>
          <cell r="M8">
            <v>7.3</v>
          </cell>
        </row>
        <row r="9">
          <cell r="B9" t="str">
            <v>Chutes fora da área</v>
          </cell>
          <cell r="M9">
            <v>6</v>
          </cell>
        </row>
        <row r="10">
          <cell r="B10" t="str">
            <v>Chutes no gol</v>
          </cell>
          <cell r="M10">
            <v>4.3</v>
          </cell>
        </row>
        <row r="11">
          <cell r="B11" t="str">
            <v>Chutes para fora</v>
          </cell>
          <cell r="M11">
            <v>4.9000000000000004</v>
          </cell>
        </row>
        <row r="12">
          <cell r="B12" t="str">
            <v>Defesas do goleiro</v>
          </cell>
          <cell r="M12">
            <v>2.5</v>
          </cell>
        </row>
        <row r="13">
          <cell r="B13" t="str">
            <v>Driblado</v>
          </cell>
          <cell r="M13">
            <v>8</v>
          </cell>
        </row>
        <row r="14">
          <cell r="B14" t="str">
            <v>Duelos ganhos</v>
          </cell>
          <cell r="M14">
            <v>48.2</v>
          </cell>
        </row>
        <row r="15">
          <cell r="B15" t="str">
            <v>Escanteios</v>
          </cell>
          <cell r="M15">
            <v>6.3</v>
          </cell>
        </row>
        <row r="16">
          <cell r="B16" t="str">
            <v>Faltas</v>
          </cell>
          <cell r="M16">
            <v>9.1</v>
          </cell>
        </row>
        <row r="17">
          <cell r="B17" t="str">
            <v>Faltas sofridas</v>
          </cell>
          <cell r="M17">
            <v>11.3</v>
          </cell>
        </row>
        <row r="18">
          <cell r="B18" t="str">
            <v>Gol sofrido devido a erro individual</v>
          </cell>
          <cell r="M18">
            <v>0</v>
          </cell>
        </row>
        <row r="19">
          <cell r="B19" t="str">
            <v>Gols esperados (xG)</v>
          </cell>
          <cell r="M19">
            <v>1.3919999999999999</v>
          </cell>
        </row>
        <row r="20">
          <cell r="B20" t="str">
            <v>Gols esperados em chutes no alvo</v>
          </cell>
          <cell r="M20">
            <v>1.5909999999999997</v>
          </cell>
        </row>
        <row r="21">
          <cell r="B21" t="str">
            <v>Grandes chances perdidas</v>
          </cell>
          <cell r="M21">
            <v>0.88888888888888884</v>
          </cell>
        </row>
        <row r="22">
          <cell r="B22" t="str">
            <v>Impedimentos</v>
          </cell>
          <cell r="M22">
            <v>2</v>
          </cell>
        </row>
        <row r="23">
          <cell r="B23" t="str">
            <v>Interceptações</v>
          </cell>
          <cell r="M23">
            <v>8.6</v>
          </cell>
        </row>
        <row r="24">
          <cell r="B24" t="str">
            <v>Laterais cobrados</v>
          </cell>
          <cell r="M24">
            <v>17.600000000000001</v>
          </cell>
        </row>
        <row r="25">
          <cell r="B25" t="str">
            <v>Passes completos</v>
          </cell>
          <cell r="M25">
            <v>416.4</v>
          </cell>
        </row>
        <row r="26">
          <cell r="B26" t="str">
            <v>Passes decisivos</v>
          </cell>
          <cell r="M26">
            <v>10.5</v>
          </cell>
        </row>
        <row r="27">
          <cell r="B27" t="str">
            <v>Passes no campo adversário</v>
          </cell>
          <cell r="M27">
            <v>271.10000000000002</v>
          </cell>
        </row>
        <row r="28">
          <cell r="B28" t="str">
            <v>Passes no próprio campo</v>
          </cell>
          <cell r="M28">
            <v>230.6</v>
          </cell>
        </row>
        <row r="29">
          <cell r="B29" t="str">
            <v>Passes no último terço</v>
          </cell>
          <cell r="M29">
            <v>102</v>
          </cell>
        </row>
        <row r="30">
          <cell r="B30" t="str">
            <v>Passes para trás</v>
          </cell>
          <cell r="M30">
            <v>75.7</v>
          </cell>
        </row>
        <row r="31">
          <cell r="B31" t="str">
            <v>Perigo afastado</v>
          </cell>
          <cell r="M31">
            <v>20.8</v>
          </cell>
        </row>
        <row r="32">
          <cell r="B32" t="str">
            <v>Posse de Bola</v>
          </cell>
          <cell r="M32">
            <v>0.53700000000000003</v>
          </cell>
        </row>
        <row r="33">
          <cell r="B33" t="str">
            <v>Posse de bola perdida</v>
          </cell>
          <cell r="M33">
            <v>118.6</v>
          </cell>
        </row>
        <row r="34">
          <cell r="B34" t="str">
            <v>Posse recuperada no terço final</v>
          </cell>
          <cell r="M34">
            <v>4.2</v>
          </cell>
        </row>
        <row r="35">
          <cell r="B35" t="str">
            <v>Tiros de meta</v>
          </cell>
          <cell r="M35">
            <v>6.7</v>
          </cell>
        </row>
        <row r="36">
          <cell r="B36" t="str">
            <v>Total de chutes</v>
          </cell>
          <cell r="M36">
            <v>13.3</v>
          </cell>
        </row>
        <row r="37">
          <cell r="B37" t="str">
            <v>Trave</v>
          </cell>
          <cell r="M37">
            <v>0.33333333333333331</v>
          </cell>
        </row>
        <row r="38">
          <cell r="B38" t="str">
            <v>xG sofridos (xGC)</v>
          </cell>
          <cell r="M38">
            <v>1.1440000000000001</v>
          </cell>
        </row>
      </sheetData>
      <sheetData sheetId="44">
        <row r="2">
          <cell r="B2" t="str">
            <v>Assistência esperada (xA)</v>
          </cell>
          <cell r="M2">
            <v>0.92600000000000016</v>
          </cell>
        </row>
        <row r="3">
          <cell r="B3" t="str">
            <v>Ataque</v>
          </cell>
          <cell r="M3">
            <v>94.7</v>
          </cell>
        </row>
        <row r="4">
          <cell r="B4" t="str">
            <v>Cartões amarelos</v>
          </cell>
          <cell r="M4">
            <v>2.2000000000000002</v>
          </cell>
        </row>
        <row r="5">
          <cell r="B5" t="str">
            <v>Cartões vermelhos</v>
          </cell>
          <cell r="M5">
            <v>0.1</v>
          </cell>
        </row>
        <row r="6">
          <cell r="B6" t="str">
            <v>Chances perigosas criadas</v>
          </cell>
          <cell r="M6">
            <v>1.4</v>
          </cell>
        </row>
        <row r="7">
          <cell r="B7" t="str">
            <v>Chutes bloqueados</v>
          </cell>
          <cell r="M7">
            <v>2.9</v>
          </cell>
        </row>
        <row r="8">
          <cell r="B8" t="str">
            <v>Chutes dentro da área</v>
          </cell>
          <cell r="M8">
            <v>6.5</v>
          </cell>
        </row>
        <row r="9">
          <cell r="B9" t="str">
            <v>Chutes fora da área</v>
          </cell>
          <cell r="M9">
            <v>4.4000000000000004</v>
          </cell>
        </row>
        <row r="10">
          <cell r="B10" t="str">
            <v>Chutes no gol</v>
          </cell>
          <cell r="M10">
            <v>2.7</v>
          </cell>
        </row>
        <row r="11">
          <cell r="B11" t="str">
            <v>Chutes para fora</v>
          </cell>
          <cell r="M11">
            <v>5.3</v>
          </cell>
        </row>
        <row r="12">
          <cell r="B12" t="str">
            <v>Defesas do goleiro</v>
          </cell>
          <cell r="M12">
            <v>2.1</v>
          </cell>
        </row>
        <row r="13">
          <cell r="B13" t="str">
            <v>Driblado</v>
          </cell>
          <cell r="M13">
            <v>7.4</v>
          </cell>
        </row>
        <row r="14">
          <cell r="B14" t="str">
            <v>Duelos ganhos</v>
          </cell>
          <cell r="M14">
            <v>42</v>
          </cell>
        </row>
        <row r="15">
          <cell r="B15" t="str">
            <v>Escanteios</v>
          </cell>
          <cell r="M15">
            <v>4.5</v>
          </cell>
        </row>
        <row r="16">
          <cell r="B16" t="str">
            <v>Faltas</v>
          </cell>
          <cell r="M16">
            <v>13.5</v>
          </cell>
        </row>
        <row r="17">
          <cell r="B17" t="str">
            <v>Faltas sofridas</v>
          </cell>
          <cell r="M17">
            <v>10.199999999999999</v>
          </cell>
        </row>
        <row r="18">
          <cell r="B18" t="str">
            <v>Gol sofrido devido a erro individual</v>
          </cell>
          <cell r="M18">
            <v>0.5</v>
          </cell>
        </row>
        <row r="19">
          <cell r="B19" t="str">
            <v>Gols esperados (xG)</v>
          </cell>
          <cell r="M19">
            <v>1.0459999999999998</v>
          </cell>
        </row>
        <row r="20">
          <cell r="B20" t="str">
            <v>Gols esperados em chutes no alvo</v>
          </cell>
          <cell r="M20">
            <v>0.90600000000000003</v>
          </cell>
        </row>
        <row r="21">
          <cell r="B21" t="str">
            <v>Grandes chances perdidas</v>
          </cell>
          <cell r="M21">
            <v>1</v>
          </cell>
        </row>
        <row r="22">
          <cell r="B22" t="str">
            <v>Impedimentos</v>
          </cell>
          <cell r="M22">
            <v>1.2</v>
          </cell>
        </row>
        <row r="23">
          <cell r="B23" t="str">
            <v>Interceptações</v>
          </cell>
          <cell r="M23">
            <v>7.6</v>
          </cell>
        </row>
        <row r="24">
          <cell r="B24" t="str">
            <v>Laterais cobrados</v>
          </cell>
          <cell r="M24">
            <v>15.5</v>
          </cell>
        </row>
        <row r="25">
          <cell r="B25" t="str">
            <v>Passes completos</v>
          </cell>
          <cell r="M25">
            <v>412.3</v>
          </cell>
        </row>
        <row r="26">
          <cell r="B26" t="str">
            <v>Passes decisivos</v>
          </cell>
          <cell r="M26">
            <v>8.3000000000000007</v>
          </cell>
        </row>
        <row r="27">
          <cell r="B27" t="str">
            <v>Passes no campo adversário</v>
          </cell>
          <cell r="M27">
            <v>259.3</v>
          </cell>
        </row>
        <row r="28">
          <cell r="B28" t="str">
            <v>Passes no próprio campo</v>
          </cell>
          <cell r="M28">
            <v>235</v>
          </cell>
        </row>
        <row r="29">
          <cell r="B29" t="str">
            <v>Passes no último terço</v>
          </cell>
          <cell r="M29">
            <v>80.8</v>
          </cell>
        </row>
        <row r="30">
          <cell r="B30" t="str">
            <v>Passes para trás</v>
          </cell>
          <cell r="M30">
            <v>74.7</v>
          </cell>
        </row>
        <row r="31">
          <cell r="B31" t="str">
            <v>Perigo afastado</v>
          </cell>
          <cell r="M31">
            <v>15.8</v>
          </cell>
        </row>
        <row r="32">
          <cell r="B32" t="str">
            <v>Posse de Bola</v>
          </cell>
          <cell r="M32">
            <v>0.55999999999999994</v>
          </cell>
        </row>
        <row r="33">
          <cell r="B33" t="str">
            <v>Posse de bola perdida</v>
          </cell>
          <cell r="M33">
            <v>112.2</v>
          </cell>
        </row>
        <row r="34">
          <cell r="B34" t="str">
            <v>Posse recuperada no terço final</v>
          </cell>
          <cell r="M34">
            <v>4.3</v>
          </cell>
        </row>
        <row r="35">
          <cell r="B35" t="str">
            <v>Tiros de meta</v>
          </cell>
          <cell r="M35">
            <v>6.5</v>
          </cell>
        </row>
        <row r="36">
          <cell r="B36" t="str">
            <v>Total de chutes</v>
          </cell>
          <cell r="M36">
            <v>10.9</v>
          </cell>
        </row>
        <row r="37">
          <cell r="B37" t="str">
            <v>Trave</v>
          </cell>
          <cell r="M37">
            <v>0.2</v>
          </cell>
        </row>
        <row r="38">
          <cell r="B38" t="str">
            <v>xG sofridos (xGC)</v>
          </cell>
          <cell r="M38">
            <v>0.75700000000000001</v>
          </cell>
        </row>
      </sheetData>
      <sheetData sheetId="45">
        <row r="2">
          <cell r="B2" t="str">
            <v>Assistência esperada (xA)</v>
          </cell>
          <cell r="L2">
            <v>0.56999999999999995</v>
          </cell>
        </row>
        <row r="3">
          <cell r="B3" t="str">
            <v>Ataque</v>
          </cell>
          <cell r="L3">
            <v>71.444444444444443</v>
          </cell>
        </row>
        <row r="4">
          <cell r="B4" t="str">
            <v>Cartões amarelos</v>
          </cell>
          <cell r="L4">
            <v>0.55555555555555558</v>
          </cell>
        </row>
        <row r="5">
          <cell r="B5" t="str">
            <v>Cartões vermelhos</v>
          </cell>
          <cell r="L5">
            <v>0.22222222222222221</v>
          </cell>
        </row>
        <row r="6">
          <cell r="B6" t="str">
            <v>Chances perigosas criadas</v>
          </cell>
          <cell r="L6">
            <v>2</v>
          </cell>
        </row>
        <row r="7">
          <cell r="B7" t="str">
            <v>Chutes bloqueados</v>
          </cell>
          <cell r="L7">
            <v>2.4</v>
          </cell>
        </row>
        <row r="8">
          <cell r="B8" t="str">
            <v>Chutes dentro da área</v>
          </cell>
          <cell r="L8">
            <v>4</v>
          </cell>
        </row>
        <row r="9">
          <cell r="B9" t="str">
            <v>Chutes fora da área</v>
          </cell>
          <cell r="L9">
            <v>3</v>
          </cell>
        </row>
        <row r="10">
          <cell r="B10" t="str">
            <v>Chutes no gol</v>
          </cell>
          <cell r="L10">
            <v>4.8</v>
          </cell>
        </row>
        <row r="11">
          <cell r="B11" t="str">
            <v>Chutes para fora</v>
          </cell>
          <cell r="L11">
            <v>4.5999999999999996</v>
          </cell>
        </row>
        <row r="12">
          <cell r="B12" t="str">
            <v>Defesas do goleiro</v>
          </cell>
          <cell r="L12">
            <v>2</v>
          </cell>
        </row>
        <row r="13">
          <cell r="B13" t="str">
            <v>Driblado</v>
          </cell>
          <cell r="L13">
            <v>10</v>
          </cell>
        </row>
        <row r="14">
          <cell r="B14" t="str">
            <v>Duelos ganhos</v>
          </cell>
          <cell r="L14">
            <v>35</v>
          </cell>
        </row>
        <row r="15">
          <cell r="B15" t="str">
            <v>Escanteios</v>
          </cell>
          <cell r="L15">
            <v>4.4444444444444446</v>
          </cell>
        </row>
        <row r="16">
          <cell r="B16" t="str">
            <v>Faltas</v>
          </cell>
          <cell r="L16">
            <v>5</v>
          </cell>
        </row>
        <row r="17">
          <cell r="B17" t="str">
            <v>Faltas sofridas</v>
          </cell>
          <cell r="L17">
            <v>7</v>
          </cell>
        </row>
        <row r="18">
          <cell r="B18" t="str">
            <v>Gols esperados (xG)</v>
          </cell>
          <cell r="L18">
            <v>0.73</v>
          </cell>
        </row>
        <row r="19">
          <cell r="B19" t="str">
            <v>Gols esperados em chutes no alvo</v>
          </cell>
          <cell r="L19">
            <v>1.51</v>
          </cell>
        </row>
        <row r="20">
          <cell r="B20" t="str">
            <v>Grandes chances perdidas</v>
          </cell>
          <cell r="L20">
            <v>1</v>
          </cell>
        </row>
        <row r="21">
          <cell r="B21" t="str">
            <v>Impedimentos</v>
          </cell>
          <cell r="L21">
            <v>1.7777777777777777</v>
          </cell>
        </row>
        <row r="22">
          <cell r="B22" t="str">
            <v>Interceptações</v>
          </cell>
          <cell r="L22">
            <v>6</v>
          </cell>
        </row>
        <row r="23">
          <cell r="B23" t="str">
            <v>Laterais cobrados</v>
          </cell>
          <cell r="L23">
            <v>17.333333333333332</v>
          </cell>
        </row>
        <row r="24">
          <cell r="B24" t="str">
            <v>Passes completos</v>
          </cell>
          <cell r="L24">
            <v>263</v>
          </cell>
        </row>
        <row r="25">
          <cell r="B25" t="str">
            <v>Passes decisivos</v>
          </cell>
          <cell r="L25">
            <v>5</v>
          </cell>
        </row>
        <row r="26">
          <cell r="B26" t="str">
            <v>Passes no campo adversário</v>
          </cell>
          <cell r="L26">
            <v>172</v>
          </cell>
        </row>
        <row r="27">
          <cell r="B27" t="str">
            <v>Passes no próprio campo</v>
          </cell>
          <cell r="L27">
            <v>178</v>
          </cell>
        </row>
        <row r="28">
          <cell r="B28" t="str">
            <v>Passes no último terço</v>
          </cell>
          <cell r="L28">
            <v>44</v>
          </cell>
        </row>
        <row r="29">
          <cell r="B29" t="str">
            <v>Passes para trás</v>
          </cell>
          <cell r="L29">
            <v>41</v>
          </cell>
        </row>
        <row r="30">
          <cell r="B30" t="str">
            <v>Perigo afastado</v>
          </cell>
          <cell r="L30">
            <v>26</v>
          </cell>
        </row>
        <row r="31">
          <cell r="B31" t="str">
            <v>Posse de Bola</v>
          </cell>
          <cell r="L31">
            <v>0.51444444444444448</v>
          </cell>
        </row>
        <row r="32">
          <cell r="B32" t="str">
            <v>Posse de bola perdida</v>
          </cell>
          <cell r="L32">
            <v>122</v>
          </cell>
        </row>
        <row r="33">
          <cell r="B33" t="str">
            <v>Posse recuperada no terço final</v>
          </cell>
          <cell r="L33">
            <v>2</v>
          </cell>
        </row>
        <row r="34">
          <cell r="B34" t="str">
            <v>Tiros de meta</v>
          </cell>
          <cell r="L34">
            <v>7.4444444444444446</v>
          </cell>
        </row>
        <row r="35">
          <cell r="B35" t="str">
            <v>Total de chutes</v>
          </cell>
          <cell r="L35">
            <v>11.333333333333334</v>
          </cell>
        </row>
        <row r="36">
          <cell r="B36" t="str">
            <v>Trave</v>
          </cell>
          <cell r="L36">
            <v>0</v>
          </cell>
        </row>
        <row r="37">
          <cell r="B37" t="str">
            <v>xG sofridos (xGC)</v>
          </cell>
          <cell r="L37">
            <v>1.95</v>
          </cell>
        </row>
      </sheetData>
      <sheetData sheetId="46">
        <row r="2">
          <cell r="B2" t="str">
            <v>Assistência esperada (xA)</v>
          </cell>
          <cell r="M2">
            <v>0.95857142857142874</v>
          </cell>
        </row>
        <row r="3">
          <cell r="B3" t="str">
            <v>Ataque</v>
          </cell>
          <cell r="M3">
            <v>84</v>
          </cell>
        </row>
        <row r="4">
          <cell r="B4" t="str">
            <v>Cartões amarelos</v>
          </cell>
          <cell r="M4">
            <v>1.9</v>
          </cell>
        </row>
        <row r="5">
          <cell r="B5" t="str">
            <v>Cartões vermelhos</v>
          </cell>
          <cell r="M5">
            <v>0.1</v>
          </cell>
        </row>
        <row r="6">
          <cell r="B6" t="str">
            <v>Chances perigosas criadas</v>
          </cell>
          <cell r="M6">
            <v>2.6666666666666665</v>
          </cell>
        </row>
        <row r="7">
          <cell r="B7" t="str">
            <v>Chutes bloqueados</v>
          </cell>
          <cell r="M7">
            <v>3.5555555555555554</v>
          </cell>
        </row>
        <row r="8">
          <cell r="B8" t="str">
            <v>Chutes dentro da área</v>
          </cell>
          <cell r="M8">
            <v>7.5555555555555554</v>
          </cell>
        </row>
        <row r="9">
          <cell r="B9" t="str">
            <v>Chutes fora da área</v>
          </cell>
          <cell r="M9">
            <v>6.8888888888888893</v>
          </cell>
        </row>
        <row r="10">
          <cell r="B10" t="str">
            <v>Chutes no gol</v>
          </cell>
          <cell r="M10">
            <v>4.7777777777777777</v>
          </cell>
        </row>
        <row r="11">
          <cell r="B11" t="str">
            <v>Chutes para fora</v>
          </cell>
          <cell r="M11">
            <v>6.1111111111111107</v>
          </cell>
        </row>
        <row r="12">
          <cell r="B12" t="str">
            <v>Defesas do goleiro</v>
          </cell>
          <cell r="M12">
            <v>1.5555555555555556</v>
          </cell>
        </row>
        <row r="13">
          <cell r="B13" t="str">
            <v>Driblado</v>
          </cell>
          <cell r="M13">
            <v>6.7777777777777777</v>
          </cell>
        </row>
        <row r="14">
          <cell r="B14" t="str">
            <v>Duelos ganhos</v>
          </cell>
          <cell r="M14">
            <v>44.666666666666664</v>
          </cell>
        </row>
        <row r="15">
          <cell r="B15" t="str">
            <v>Escanteios</v>
          </cell>
          <cell r="M15">
            <v>4.9000000000000004</v>
          </cell>
        </row>
        <row r="16">
          <cell r="B16" t="str">
            <v>Faltas</v>
          </cell>
          <cell r="M16">
            <v>13.333333333333334</v>
          </cell>
        </row>
        <row r="17">
          <cell r="B17" t="str">
            <v>Faltas sofridas</v>
          </cell>
          <cell r="M17">
            <v>15.333333333333334</v>
          </cell>
        </row>
        <row r="18">
          <cell r="B18" t="str">
            <v>Gol sofrido devido a erro individual</v>
          </cell>
          <cell r="M18">
            <v>0</v>
          </cell>
        </row>
        <row r="19">
          <cell r="B19" t="str">
            <v>Gols esperados (xG)</v>
          </cell>
          <cell r="M19">
            <v>1.1128571428571428</v>
          </cell>
        </row>
        <row r="20">
          <cell r="B20" t="str">
            <v>Gols esperados em chutes no alvo</v>
          </cell>
          <cell r="M20">
            <v>1.3785714285714286</v>
          </cell>
        </row>
        <row r="21">
          <cell r="B21" t="str">
            <v>Grandes chances perdidas</v>
          </cell>
          <cell r="M21">
            <v>1.8888888888888888</v>
          </cell>
        </row>
        <row r="22">
          <cell r="B22" t="str">
            <v>Impedimentos</v>
          </cell>
          <cell r="M22">
            <v>1.8</v>
          </cell>
        </row>
        <row r="23">
          <cell r="B23" t="str">
            <v>Interceptações</v>
          </cell>
          <cell r="M23">
            <v>6.1111111111111107</v>
          </cell>
        </row>
        <row r="24">
          <cell r="B24" t="str">
            <v>Laterais cobrados</v>
          </cell>
          <cell r="M24">
            <v>18.3</v>
          </cell>
        </row>
        <row r="25">
          <cell r="B25" t="str">
            <v>Passes completos</v>
          </cell>
          <cell r="M25">
            <v>440.55555555555554</v>
          </cell>
        </row>
        <row r="26">
          <cell r="B26" t="str">
            <v>Passes decisivos</v>
          </cell>
          <cell r="M26">
            <v>11.777777777777779</v>
          </cell>
        </row>
        <row r="27">
          <cell r="B27" t="str">
            <v>Passes no campo adversário</v>
          </cell>
          <cell r="M27">
            <v>283.88888888888891</v>
          </cell>
        </row>
        <row r="28">
          <cell r="B28" t="str">
            <v>Passes no próprio campo</v>
          </cell>
          <cell r="M28">
            <v>238.55555555555554</v>
          </cell>
        </row>
        <row r="29">
          <cell r="B29" t="str">
            <v>Passes no último terço</v>
          </cell>
          <cell r="M29">
            <v>99</v>
          </cell>
        </row>
        <row r="30">
          <cell r="B30" t="str">
            <v>Passes para trás</v>
          </cell>
          <cell r="M30">
            <v>77.666666666666671</v>
          </cell>
        </row>
        <row r="31">
          <cell r="B31" t="str">
            <v>Perigo afastado</v>
          </cell>
          <cell r="M31">
            <v>15.555555555555555</v>
          </cell>
        </row>
        <row r="32">
          <cell r="B32" t="str">
            <v>Posse de Bola</v>
          </cell>
          <cell r="M32">
            <v>0.63600000000000001</v>
          </cell>
        </row>
        <row r="33">
          <cell r="B33" t="str">
            <v>Posse de bola perdida</v>
          </cell>
          <cell r="M33">
            <v>107.77777777777777</v>
          </cell>
        </row>
        <row r="34">
          <cell r="B34" t="str">
            <v>Posse recuperada no terço final</v>
          </cell>
          <cell r="M34">
            <v>3.1111111111111112</v>
          </cell>
        </row>
        <row r="35">
          <cell r="B35" t="str">
            <v>Tiros de meta</v>
          </cell>
          <cell r="M35">
            <v>6.3</v>
          </cell>
        </row>
        <row r="36">
          <cell r="B36" t="str">
            <v>Total de chutes</v>
          </cell>
          <cell r="M36">
            <v>14.444444444444445</v>
          </cell>
        </row>
        <row r="37">
          <cell r="B37" t="str">
            <v>Trave</v>
          </cell>
          <cell r="M37">
            <v>0.33333333333333331</v>
          </cell>
        </row>
        <row r="38">
          <cell r="B38" t="str">
            <v>xG sofridos (xGC)</v>
          </cell>
          <cell r="M38">
            <v>0.88142857142857145</v>
          </cell>
        </row>
      </sheetData>
      <sheetData sheetId="47">
        <row r="2">
          <cell r="B2" t="str">
            <v>Assistência esperada (xA)</v>
          </cell>
          <cell r="M2">
            <v>1.6579999999999999</v>
          </cell>
        </row>
        <row r="3">
          <cell r="B3" t="str">
            <v>Ataque</v>
          </cell>
          <cell r="M3">
            <v>114.4</v>
          </cell>
        </row>
        <row r="4">
          <cell r="B4" t="str">
            <v>Cartões amarelos</v>
          </cell>
          <cell r="M4">
            <v>1.4</v>
          </cell>
        </row>
        <row r="5">
          <cell r="B5" t="str">
            <v>Cartões vermelhos</v>
          </cell>
          <cell r="M5">
            <v>0.1</v>
          </cell>
        </row>
        <row r="6">
          <cell r="B6" t="str">
            <v>Chances perigosas criadas</v>
          </cell>
          <cell r="M6">
            <v>3</v>
          </cell>
        </row>
        <row r="7">
          <cell r="B7" t="str">
            <v>Chutes bloqueados</v>
          </cell>
          <cell r="M7">
            <v>1.9</v>
          </cell>
        </row>
        <row r="8">
          <cell r="B8" t="str">
            <v>Chutes dentro da área</v>
          </cell>
          <cell r="M8">
            <v>9.6</v>
          </cell>
        </row>
        <row r="9">
          <cell r="B9" t="str">
            <v>Chutes fora da área</v>
          </cell>
          <cell r="M9">
            <v>2.7</v>
          </cell>
        </row>
        <row r="10">
          <cell r="B10" t="str">
            <v>Chutes no gol</v>
          </cell>
          <cell r="M10">
            <v>6.2</v>
          </cell>
        </row>
        <row r="11">
          <cell r="B11" t="str">
            <v>Chutes para fora</v>
          </cell>
          <cell r="M11">
            <v>4.2</v>
          </cell>
        </row>
        <row r="12">
          <cell r="B12" t="str">
            <v>Defesas do goleiro</v>
          </cell>
          <cell r="M12">
            <v>1.4</v>
          </cell>
        </row>
        <row r="13">
          <cell r="B13" t="str">
            <v>Driblado</v>
          </cell>
          <cell r="M13">
            <v>8.9</v>
          </cell>
        </row>
        <row r="14">
          <cell r="B14" t="str">
            <v>Duelos ganhos</v>
          </cell>
          <cell r="M14">
            <v>46.2</v>
          </cell>
        </row>
        <row r="15">
          <cell r="B15" t="str">
            <v>Escanteios</v>
          </cell>
          <cell r="M15">
            <v>4.4000000000000004</v>
          </cell>
        </row>
        <row r="16">
          <cell r="B16" t="str">
            <v>Faltas</v>
          </cell>
          <cell r="M16">
            <v>14.3</v>
          </cell>
        </row>
        <row r="17">
          <cell r="B17" t="str">
            <v>Faltas sofridas</v>
          </cell>
          <cell r="M17">
            <v>9.9</v>
          </cell>
        </row>
        <row r="18">
          <cell r="B18" t="str">
            <v>Gol sofrido devido a erro individual</v>
          </cell>
          <cell r="M18">
            <v>0</v>
          </cell>
        </row>
        <row r="19">
          <cell r="B19" t="str">
            <v>Gols esperados (xG)</v>
          </cell>
          <cell r="M19">
            <v>2.0649999999999999</v>
          </cell>
        </row>
        <row r="20">
          <cell r="B20" t="str">
            <v>Gols esperados em chutes no alvo</v>
          </cell>
          <cell r="M20">
            <v>2.589</v>
          </cell>
        </row>
        <row r="21">
          <cell r="B21" t="str">
            <v>Grandes chances perdidas</v>
          </cell>
          <cell r="M21">
            <v>2.2000000000000002</v>
          </cell>
        </row>
        <row r="22">
          <cell r="B22" t="str">
            <v>Impedimentos</v>
          </cell>
          <cell r="M22">
            <v>1.9</v>
          </cell>
        </row>
        <row r="23">
          <cell r="B23" t="str">
            <v>Interceptações</v>
          </cell>
          <cell r="M23">
            <v>4.8</v>
          </cell>
        </row>
        <row r="24">
          <cell r="B24" t="str">
            <v>Laterais cobrados</v>
          </cell>
          <cell r="M24">
            <v>21.3</v>
          </cell>
        </row>
        <row r="25">
          <cell r="B25" t="str">
            <v>Passes completos</v>
          </cell>
          <cell r="M25">
            <v>439.5</v>
          </cell>
        </row>
        <row r="26">
          <cell r="B26" t="str">
            <v>Passes decisivos</v>
          </cell>
          <cell r="M26">
            <v>8.9</v>
          </cell>
        </row>
        <row r="27">
          <cell r="B27" t="str">
            <v>Passes no campo adversário</v>
          </cell>
          <cell r="M27">
            <v>333.5</v>
          </cell>
        </row>
        <row r="28">
          <cell r="B28" t="str">
            <v>Passes no próprio campo</v>
          </cell>
          <cell r="M28">
            <v>201.8</v>
          </cell>
        </row>
        <row r="29">
          <cell r="B29" t="str">
            <v>Passes no último terço</v>
          </cell>
          <cell r="M29">
            <v>120</v>
          </cell>
        </row>
        <row r="30">
          <cell r="B30" t="str">
            <v>Passes para trás</v>
          </cell>
          <cell r="M30">
            <v>80.8</v>
          </cell>
        </row>
        <row r="31">
          <cell r="B31" t="str">
            <v>Perigo afastado</v>
          </cell>
          <cell r="M31">
            <v>21.6</v>
          </cell>
        </row>
        <row r="32">
          <cell r="B32" t="str">
            <v>Posse de Bola</v>
          </cell>
          <cell r="M32">
            <v>0.62899999999999989</v>
          </cell>
        </row>
        <row r="33">
          <cell r="B33" t="str">
            <v>Posse de bola perdida</v>
          </cell>
          <cell r="M33">
            <v>129.69999999999999</v>
          </cell>
        </row>
        <row r="34">
          <cell r="B34" t="str">
            <v>Posse recuperada no terço final</v>
          </cell>
          <cell r="M34">
            <v>6.6</v>
          </cell>
        </row>
        <row r="35">
          <cell r="B35" t="str">
            <v>Tiros de meta</v>
          </cell>
          <cell r="M35">
            <v>5.8</v>
          </cell>
        </row>
        <row r="36">
          <cell r="B36" t="str">
            <v>Total de chutes</v>
          </cell>
          <cell r="M36">
            <v>12.3</v>
          </cell>
        </row>
        <row r="37">
          <cell r="B37" t="str">
            <v>Trave</v>
          </cell>
          <cell r="M37">
            <v>0.6</v>
          </cell>
        </row>
        <row r="38">
          <cell r="B38" t="str">
            <v>xG sofridos (xGC)</v>
          </cell>
          <cell r="M38">
            <v>0.77400000000000002</v>
          </cell>
        </row>
      </sheetData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1B7F1-EF82-4D75-B3E0-58C2CD7B9892}">
  <sheetPr codeName="Planilha1"/>
  <dimension ref="A1:AW40"/>
  <sheetViews>
    <sheetView workbookViewId="0">
      <pane xSplit="1" topLeftCell="B1" activePane="topRight" state="frozen"/>
      <selection activeCell="A4" sqref="A4"/>
      <selection pane="topRight" activeCell="AC11" sqref="AC11"/>
    </sheetView>
  </sheetViews>
  <sheetFormatPr defaultRowHeight="15" x14ac:dyDescent="0.25"/>
  <cols>
    <col min="1" max="1" width="32.5703125" bestFit="1" customWidth="1"/>
    <col min="2" max="2" width="12" style="6" bestFit="1" customWidth="1"/>
    <col min="3" max="3" width="10" bestFit="1" customWidth="1"/>
    <col min="4" max="4" width="11" bestFit="1" customWidth="1"/>
    <col min="5" max="5" width="7.140625" bestFit="1" customWidth="1"/>
    <col min="6" max="6" width="14.140625" bestFit="1" customWidth="1"/>
    <col min="7" max="7" width="9" bestFit="1" customWidth="1"/>
    <col min="8" max="8" width="7.28515625" bestFit="1" customWidth="1"/>
    <col min="9" max="9" width="11" bestFit="1" customWidth="1"/>
    <col min="10" max="10" width="7.42578125" bestFit="1" customWidth="1"/>
    <col min="11" max="11" width="20" bestFit="1" customWidth="1"/>
    <col min="12" max="12" width="11" bestFit="1" customWidth="1"/>
    <col min="13" max="13" width="10.5703125" bestFit="1" customWidth="1"/>
    <col min="14" max="14" width="5.7109375" bestFit="1" customWidth="1"/>
    <col min="15" max="15" width="11" bestFit="1" customWidth="1"/>
    <col min="16" max="16" width="12.5703125" bestFit="1" customWidth="1"/>
    <col min="17" max="17" width="15.5703125" bestFit="1" customWidth="1"/>
    <col min="18" max="18" width="7.85546875" bestFit="1" customWidth="1"/>
    <col min="19" max="19" width="10.5703125" bestFit="1" customWidth="1"/>
    <col min="20" max="20" width="5.5703125" bestFit="1" customWidth="1"/>
    <col min="21" max="21" width="11" bestFit="1" customWidth="1"/>
    <col min="22" max="22" width="7.85546875" bestFit="1" customWidth="1"/>
    <col min="23" max="23" width="8.7109375" bestFit="1" customWidth="1"/>
    <col min="24" max="24" width="10.5703125" bestFit="1" customWidth="1"/>
    <col min="25" max="25" width="7.140625" bestFit="1" customWidth="1"/>
    <col min="26" max="26" width="5.7109375" bestFit="1" customWidth="1"/>
    <col min="27" max="27" width="10.5703125" bestFit="1" customWidth="1"/>
    <col min="28" max="28" width="8.5703125" bestFit="1" customWidth="1"/>
    <col min="29" max="29" width="9.5703125" bestFit="1" customWidth="1"/>
    <col min="30" max="30" width="6.7109375" bestFit="1" customWidth="1"/>
    <col min="31" max="31" width="5.5703125" bestFit="1" customWidth="1"/>
    <col min="32" max="32" width="6.28515625" bestFit="1" customWidth="1"/>
    <col min="33" max="33" width="8.7109375" bestFit="1" customWidth="1"/>
    <col min="34" max="34" width="9.42578125" bestFit="1" customWidth="1"/>
    <col min="35" max="35" width="10.5703125" bestFit="1" customWidth="1"/>
    <col min="36" max="36" width="8.5703125" bestFit="1" customWidth="1"/>
    <col min="37" max="37" width="13.85546875" bestFit="1" customWidth="1"/>
    <col min="38" max="38" width="10.5703125" bestFit="1" customWidth="1"/>
    <col min="39" max="39" width="11" bestFit="1" customWidth="1"/>
    <col min="40" max="40" width="8.42578125" bestFit="1" customWidth="1"/>
    <col min="41" max="41" width="9.42578125" bestFit="1" customWidth="1"/>
    <col min="42" max="42" width="16.7109375" bestFit="1" customWidth="1"/>
    <col min="43" max="43" width="7.85546875" bestFit="1" customWidth="1"/>
    <col min="44" max="44" width="6.85546875" bestFit="1" customWidth="1"/>
    <col min="45" max="45" width="5.85546875" bestFit="1" customWidth="1"/>
    <col min="46" max="46" width="7.5703125" bestFit="1" customWidth="1"/>
    <col min="47" max="47" width="7.85546875" bestFit="1" customWidth="1"/>
    <col min="48" max="48" width="11" bestFit="1" customWidth="1"/>
    <col min="49" max="49" width="12" bestFit="1" customWidth="1"/>
  </cols>
  <sheetData>
    <row r="1" spans="1:49" x14ac:dyDescent="0.25">
      <c r="A1" s="1" t="s">
        <v>86</v>
      </c>
      <c r="B1" s="3" t="s">
        <v>84</v>
      </c>
      <c r="C1" s="3" t="s">
        <v>37</v>
      </c>
      <c r="D1" s="3" t="s">
        <v>38</v>
      </c>
      <c r="E1" s="3" t="s">
        <v>39</v>
      </c>
      <c r="F1" s="3" t="s">
        <v>40</v>
      </c>
      <c r="G1" s="3" t="s">
        <v>41</v>
      </c>
      <c r="H1" s="3" t="s">
        <v>83</v>
      </c>
      <c r="I1" s="3" t="s">
        <v>42</v>
      </c>
      <c r="J1" s="3" t="s">
        <v>43</v>
      </c>
      <c r="K1" s="3" t="s">
        <v>44</v>
      </c>
      <c r="L1" s="3" t="s">
        <v>45</v>
      </c>
      <c r="M1" s="3" t="s">
        <v>46</v>
      </c>
      <c r="N1" s="3" t="s">
        <v>47</v>
      </c>
      <c r="O1" s="4" t="s">
        <v>48</v>
      </c>
      <c r="P1" s="4" t="s">
        <v>49</v>
      </c>
      <c r="Q1" s="4" t="s">
        <v>50</v>
      </c>
      <c r="R1" s="4" t="s">
        <v>51</v>
      </c>
      <c r="S1" s="4" t="s">
        <v>52</v>
      </c>
      <c r="T1" s="4" t="s">
        <v>53</v>
      </c>
      <c r="U1" s="4" t="s">
        <v>54</v>
      </c>
      <c r="V1" s="4" t="s">
        <v>55</v>
      </c>
      <c r="W1" s="4" t="s">
        <v>56</v>
      </c>
      <c r="X1" s="4" t="s">
        <v>57</v>
      </c>
      <c r="Y1" s="4" t="s">
        <v>58</v>
      </c>
      <c r="Z1" s="4" t="s">
        <v>59</v>
      </c>
      <c r="AA1" s="4" t="s">
        <v>60</v>
      </c>
      <c r="AB1" s="4" t="s">
        <v>61</v>
      </c>
      <c r="AC1" s="4" t="s">
        <v>62</v>
      </c>
      <c r="AD1" s="4" t="s">
        <v>63</v>
      </c>
      <c r="AE1" s="4" t="s">
        <v>64</v>
      </c>
      <c r="AF1" s="4" t="s">
        <v>65</v>
      </c>
      <c r="AG1" s="4" t="s">
        <v>66</v>
      </c>
      <c r="AH1" s="4" t="s">
        <v>67</v>
      </c>
      <c r="AI1" s="4" t="s">
        <v>68</v>
      </c>
      <c r="AJ1" s="4" t="s">
        <v>69</v>
      </c>
      <c r="AK1" s="4" t="s">
        <v>71</v>
      </c>
      <c r="AL1" s="4" t="s">
        <v>70</v>
      </c>
      <c r="AM1" s="3" t="s">
        <v>72</v>
      </c>
      <c r="AN1" s="3" t="s">
        <v>73</v>
      </c>
      <c r="AO1" s="3" t="s">
        <v>74</v>
      </c>
      <c r="AP1" s="3" t="s">
        <v>75</v>
      </c>
      <c r="AQ1" s="3" t="s">
        <v>76</v>
      </c>
      <c r="AR1" s="3" t="s">
        <v>77</v>
      </c>
      <c r="AS1" s="3" t="s">
        <v>78</v>
      </c>
      <c r="AT1" s="3" t="s">
        <v>79</v>
      </c>
      <c r="AU1" s="3" t="s">
        <v>80</v>
      </c>
      <c r="AV1" s="3" t="s">
        <v>81</v>
      </c>
      <c r="AW1" s="3" t="s">
        <v>82</v>
      </c>
    </row>
    <row r="2" spans="1:49" x14ac:dyDescent="0.25">
      <c r="A2" s="1" t="s">
        <v>85</v>
      </c>
      <c r="B2" s="3" t="s">
        <v>87</v>
      </c>
      <c r="C2" s="3" t="s">
        <v>88</v>
      </c>
      <c r="D2" s="3" t="s">
        <v>89</v>
      </c>
      <c r="E2" s="3" t="s">
        <v>87</v>
      </c>
      <c r="F2" s="3" t="s">
        <v>90</v>
      </c>
      <c r="G2" s="3" t="s">
        <v>90</v>
      </c>
      <c r="H2" s="3" t="s">
        <v>88</v>
      </c>
      <c r="I2" s="3" t="s">
        <v>89</v>
      </c>
      <c r="J2" s="3" t="s">
        <v>88</v>
      </c>
      <c r="K2" s="3" t="s">
        <v>88</v>
      </c>
      <c r="L2" s="3" t="s">
        <v>87</v>
      </c>
      <c r="M2" s="3" t="s">
        <v>91</v>
      </c>
      <c r="N2" s="3" t="s">
        <v>90</v>
      </c>
      <c r="O2" s="3" t="s">
        <v>89</v>
      </c>
      <c r="P2" s="3" t="s">
        <v>90</v>
      </c>
      <c r="Q2" s="3" t="s">
        <v>87</v>
      </c>
      <c r="R2" s="3" t="s">
        <v>88</v>
      </c>
      <c r="S2" s="3" t="s">
        <v>91</v>
      </c>
      <c r="T2" s="3" t="s">
        <v>87</v>
      </c>
      <c r="U2" s="3" t="s">
        <v>89</v>
      </c>
      <c r="V2" s="3" t="s">
        <v>88</v>
      </c>
      <c r="W2" s="3" t="s">
        <v>88</v>
      </c>
      <c r="X2" s="3" t="s">
        <v>91</v>
      </c>
      <c r="Y2" s="3" t="s">
        <v>88</v>
      </c>
      <c r="Z2" s="3" t="s">
        <v>87</v>
      </c>
      <c r="AA2" s="3" t="s">
        <v>91</v>
      </c>
      <c r="AB2" s="3" t="s">
        <v>88</v>
      </c>
      <c r="AC2" s="3" t="s">
        <v>88</v>
      </c>
      <c r="AD2" s="3" t="s">
        <v>90</v>
      </c>
      <c r="AE2" s="3" t="s">
        <v>90</v>
      </c>
      <c r="AF2" s="3" t="s">
        <v>90</v>
      </c>
      <c r="AG2" s="3" t="s">
        <v>90</v>
      </c>
      <c r="AH2" s="3" t="s">
        <v>87</v>
      </c>
      <c r="AI2" s="3" t="s">
        <v>91</v>
      </c>
      <c r="AJ2" s="3" t="s">
        <v>88</v>
      </c>
      <c r="AK2" s="3" t="s">
        <v>92</v>
      </c>
      <c r="AL2" s="3" t="s">
        <v>91</v>
      </c>
      <c r="AM2" s="3" t="s">
        <v>89</v>
      </c>
      <c r="AN2" s="3" t="s">
        <v>88</v>
      </c>
      <c r="AO2" s="3" t="s">
        <v>87</v>
      </c>
      <c r="AP2" s="3" t="s">
        <v>88</v>
      </c>
      <c r="AQ2" s="3" t="s">
        <v>87</v>
      </c>
      <c r="AR2" s="3" t="s">
        <v>88</v>
      </c>
      <c r="AS2" s="3" t="s">
        <v>88</v>
      </c>
      <c r="AT2" s="3" t="s">
        <v>87</v>
      </c>
      <c r="AU2" s="3" t="s">
        <v>88</v>
      </c>
      <c r="AV2" s="3" t="s">
        <v>89</v>
      </c>
      <c r="AW2" s="3" t="s">
        <v>90</v>
      </c>
    </row>
    <row r="3" spans="1:49" x14ac:dyDescent="0.25">
      <c r="A3" s="1" t="s">
        <v>0</v>
      </c>
      <c r="B3" s="7" cm="1">
        <f t="array" ref="B3:B39">_xlfn.XLOOKUP(A3:A39,'[1]África do Sul.xlsx'!$B$2:$B$38,'[1]África do Sul.xlsx'!$M$2:$M$38,0)</f>
        <v>0.95857142857142874</v>
      </c>
      <c r="C3" s="2">
        <v>1.9750000000000001</v>
      </c>
      <c r="D3" s="2">
        <v>1.8474999999999999</v>
      </c>
      <c r="E3" s="2" cm="1">
        <f t="array" ref="E3:E39">_xlfn.XLOOKUP(A3:A39,[1]Argélia.xlsx!$B$2:$B$37,[1]Argélia.xlsx!$M$2:$M$37,0)</f>
        <v>0.80499999999999983</v>
      </c>
      <c r="F3" s="2" cm="1">
        <f t="array" ref="F3:F39">_xlfn.XLOOKUP(A3:A39,'[1]Arábia Saudita.xlsx'!$B$2:$B$32,'[1]Arábia Saudita.xlsx'!$J$2:$J$32,0)</f>
        <v>0</v>
      </c>
      <c r="G3" s="2" cm="1">
        <f t="array" ref="G3:G39">_xlfn.XLOOKUP(A3:A39,[1]Austrália.xlsx!$B$2:$B$38,[1]Austrália.xlsx!$M$2:$M$38,0)</f>
        <v>0.51</v>
      </c>
      <c r="H3" s="2" cm="1">
        <f t="array" ref="H3:H39">_xlfn.XLOOKUP(A3:A39,[1]Áustria.xlsx!$B$2:$B$38,[1]Áustria.xlsx!$M$2:$M$38,0)</f>
        <v>1.6579999999999999</v>
      </c>
      <c r="I3" s="2" cm="1">
        <f t="array" ref="I3:I39">_xlfn.XLOOKUP(A3:A39,[1]Brasil.xlsx!$B$2:$B$38,[1]Brasil.xlsx!$M$2:$M$38,0)</f>
        <v>1.133</v>
      </c>
      <c r="J3" s="2" cm="1">
        <f t="array" ref="J3:J39">_xlfn.XLOOKUP(A3:A39,[1]Bélgica.xlsx!$B$2:$B$38,[1]Bélgica.xlsx!$M$2:$M$38,0)</f>
        <v>2.0069999999999997</v>
      </c>
      <c r="K3" s="2" t="str" cm="1">
        <f t="array" ref="K3:K39">_xlfn.XLOOKUP(A3:A39,'[1]Bósnia e Herzegovina.xlsx'!$B$2:$B$38,'[1]Bósnia e Herzegovina.xlsx'!$L$2:$L$38,0)</f>
        <v>2.2</v>
      </c>
      <c r="L3" s="2" cm="1">
        <f t="array" ref="L3:L39">_xlfn.XLOOKUP(A3:A39,'[1]Cabo Verde.xlsx'!$B$2:$B$14,'[1]Cabo Verde.xlsx'!$L$2:$L$14,0)</f>
        <v>0</v>
      </c>
      <c r="M3" s="2" cm="1">
        <f t="array" ref="M3:M39">_xlfn.XLOOKUP(A3:A39,'[1]Canadá.xlsx'!$B$2:$B$38,'[1]Canadá.xlsx'!$M$2:$M$38,0)</f>
        <v>0.72000000000000008</v>
      </c>
      <c r="N3" s="2" cm="1">
        <f t="array" ref="N3:N39">_xlfn.XLOOKUP(A3:A39,'[1]Catar.xlsx'!$B$2:$B$38,'[1]Catar.xlsx'!$K$2:$K$38,0)</f>
        <v>0.59750000000000003</v>
      </c>
      <c r="O3" s="2" cm="1">
        <f t="array" ref="O3:O39">_xlfn.XLOOKUP(A3:A39,'[1]Colômbia.xlsx'!$B$2:$B$38,'[1]Colômbia.xlsx'!$M$2:$M$38,0)</f>
        <v>1.1510000000000002</v>
      </c>
      <c r="P3" s="2" cm="1">
        <f t="array" ref="P3:P39">_xlfn.XLOOKUP(A3:A39,'[1]Coreia do Sul.xlsx'!$B$2:$B$38,'[1]Coreia do Sul.xlsx'!$L$2:$L$38,0)</f>
        <v>0.625</v>
      </c>
      <c r="Q3" s="2" cm="1">
        <f t="array" ref="Q3:Q39">_xlfn.XLOOKUP(A3:A39,'[1]Costa do Marfim.xlsx'!$B$2:$B$38,'[1]Costa do Marfim.xlsx'!$L$2:$L$38,0)</f>
        <v>1.2428571428571427</v>
      </c>
      <c r="R3" s="2" cm="1">
        <f t="array" ref="R3:R39">_xlfn.XLOOKUP(A3:A39,'[1]Croácia.xlsx'!$B$2:$B$38,'[1]Croácia.xlsx'!$M$2:$M$38,0)</f>
        <v>1.9739999999999998</v>
      </c>
      <c r="S3" s="2" cm="1">
        <f t="array" ref="S3:S39">_xlfn.XLOOKUP(A3:A39,'[1]Curaçao.xlsx'!$B$2:$B$34,'[1]Curaçao.xlsx'!$M$2:$M$34,0)</f>
        <v>0</v>
      </c>
      <c r="T3" s="2" cm="1">
        <f t="array" ref="T3:T39">_xlfn.XLOOKUP(A3:A39,[1]Egito.xlsx!$B$2:$B$38,[1]Egito.xlsx!$M$2:$M$38,0)</f>
        <v>0.69111111111111101</v>
      </c>
      <c r="U3" s="2" cm="1">
        <f t="array" ref="U3:U39">_xlfn.XLOOKUP(A3:A39,[1]Equador.xlsx!$B$2:$B$38,[1]Equador.xlsx!$M$2:$M$38,0)</f>
        <v>0.49399999999999994</v>
      </c>
      <c r="V3" s="2" cm="1">
        <f t="array" ref="V3:V39">_xlfn.XLOOKUP(A3:A39,[1]Escócia.xlsx!$B$2:$B$38,[1]Escócia.xlsx!$M$2:$M$38,0)</f>
        <v>1.046</v>
      </c>
      <c r="W3" s="2" cm="1">
        <f t="array" ref="W3:W39">_xlfn.XLOOKUP(A3:A39,[1]Espanha.xlsx!$B$2:$B$38,[1]Espanha.xlsx!$M$2:$M$38,0)</f>
        <v>2.0589999999999997</v>
      </c>
      <c r="X3" s="2" cm="1">
        <f t="array" ref="X3:X39">_xlfn.XLOOKUP(A3:A39,[1]EUA.xlsx!$B$2:$B$38,[1]EUA.xlsx!$L$2:$L$38,0)</f>
        <v>1.1112499999999998</v>
      </c>
      <c r="Y3" s="2" cm="1">
        <f t="array" ref="Y3:Y39">_xlfn.XLOOKUP(A3:A39,[1]França.xlsx!$B$2:$B$38,[1]França.xlsx!$M$2:$M$38,0)</f>
        <v>1.9366666666666665</v>
      </c>
      <c r="Z3" s="2" cm="1">
        <f t="array" ref="Z3:Z39">_xlfn.XLOOKUP(A3:A39,[1]Gana.xlsx!$B$2:$B$38,[1]Gana.xlsx!$M$2:$M$38,0)</f>
        <v>0.35250000000000004</v>
      </c>
      <c r="AA3" s="2" cm="1">
        <f t="array" ref="AA3:AA39">_xlfn.XLOOKUP(A3:A39,[1]Haiti.xlsx!$B$2:$B$34,[1]Haiti.xlsx!$M$2:$M$34,0)</f>
        <v>0</v>
      </c>
      <c r="AB3" s="2" cm="1">
        <f t="array" ref="AB3:AB39">_xlfn.XLOOKUP(A3:A39,[1]Holanda.xlsx!$B$2:$B$38,[1]Holanda.xlsx!$M$2:$M$38,0)</f>
        <v>1.673</v>
      </c>
      <c r="AC3" s="2" cm="1">
        <f t="array" ref="AC3:AC39">_xlfn.XLOOKUP(A3:A39,[1]Inglaterra.xlsx!$B$2:$B$38,[1]Inglaterra.xlsx!$M$2:$M$38,0)</f>
        <v>1.595</v>
      </c>
      <c r="AD3" s="2" cm="1">
        <f t="array" ref="AD3:AD39">_xlfn.XLOOKUP(A3:A39,[1]Iraque.xlsx!$B$2:$B$37,[1]Iraque.xlsx!$M$2:$M$37,0)</f>
        <v>0.35</v>
      </c>
      <c r="AE3" s="2" cm="1">
        <f t="array" ref="AE3:AE39">_xlfn.XLOOKUP(A3:A39,[1]Irã.xlsx!$B$2:$B$37,[1]Irã.xlsx!$J$2:$J$37,0)</f>
        <v>1.06</v>
      </c>
      <c r="AF3" s="2" cm="1">
        <f t="array" ref="AF3:AF39">_xlfn.XLOOKUP(A3:A39,[1]Japão.xlsx!$B$2:$B$38,[1]Japão.xlsx!$L$2:$L$38,0)</f>
        <v>1.08125</v>
      </c>
      <c r="AG3" s="2" cm="1">
        <f t="array" ref="AG3:AG39">_xlfn.XLOOKUP(A3:A39,[1]Jordânia.xlsx!$B$2:$B$34,[1]Jordânia.xlsx!$M$2:$M$34,0)</f>
        <v>0</v>
      </c>
      <c r="AH3" s="2" cm="1">
        <f t="array" ref="AH3:AH39">_xlfn.XLOOKUP(A3:A39,[1]Marrocos.xlsx!$B$2:$B$38,[1]Marrocos.xlsx!$M$2:$M$38,0)</f>
        <v>0.99666666666666659</v>
      </c>
      <c r="AI3" s="2" cm="1">
        <f t="array" ref="AI3:AI39">_xlfn.XLOOKUP(A3:A39,[1]México.xlsx!$B$2:$B$38,[1]México.xlsx!$M$2:$M$38,0)</f>
        <v>0.72111111111111115</v>
      </c>
      <c r="AJ3" s="2" cm="1">
        <f t="array" ref="AJ3:AJ39">_xlfn.XLOOKUP(A3:A39,[1]Noruega.xlsx!$B$2:$B$38,[1]Noruega.xlsx!$M$2:$M$38,0)</f>
        <v>1.7500000000000004</v>
      </c>
      <c r="AK3" s="2" cm="1">
        <f t="array" ref="AK3:AK39">_xlfn.XLOOKUP(A3:A39,'[1]Nova Zelândia.xlsx'!$B$2:$B$37,'[1]Nova Zelândia.xlsx'!$M$2:$M$37,0)</f>
        <v>0.57999999999999996</v>
      </c>
      <c r="AL3" s="2" cm="1">
        <f t="array" ref="AL3:AL39">_xlfn.XLOOKUP(A3:A39,[1]Panamá.xlsx!$B$2:$B$37,[1]Panamá.xlsx!$M$2:$M$37,0)</f>
        <v>0.37666666666666671</v>
      </c>
      <c r="AM3" s="2" cm="1">
        <f t="array" ref="AM3:AM39">_xlfn.XLOOKUP(A3:A39,[1]Paraguai.xlsx!$B$2:$B$38,[1]Paraguai.xlsx!$M$2:$M$38,0)</f>
        <v>0.57666666666666666</v>
      </c>
      <c r="AN3" s="2" cm="1">
        <f t="array" ref="AN3:AN39">_xlfn.XLOOKUP(A3:A39,[1]Portugal.xlsx!$B$2:$B$38,[1]Portugal.xlsx!$M$2:$M$38,0)</f>
        <v>1.8800000000000001</v>
      </c>
      <c r="AO3" s="2" cm="1">
        <f t="array" ref="AO3:AO39">_xlfn.XLOOKUP(A3:A39,'[1]RD Congo.xlsx'!$B$2:$B$38,'[1]RD Congo.xlsx'!$M$2:$M$38,0)</f>
        <v>1.0725</v>
      </c>
      <c r="AP3" s="2" cm="1">
        <f t="array" ref="AP3:AP39">_xlfn.XLOOKUP(A3:A39,'[1]República Tcheca.xlsx'!$B$2:$B$38,'[1]República Tcheca.xlsx'!$M$2:$M$38,0)</f>
        <v>1.3422222222222222</v>
      </c>
      <c r="AQ3" s="2" cm="1">
        <f t="array" ref="AQ3:AQ39">_xlfn.XLOOKUP(A3:A39,[1]Senegal.xlsx!$B$2:$B$38,[1]Senegal.xlsx!$L$2:$L$38,0)</f>
        <v>1.14625</v>
      </c>
      <c r="AR3" s="2" cm="1">
        <f t="array" ref="AR3:AR39">_xlfn.XLOOKUP(A3:A39,[1]Suécia.xlsx!$B$2:$B$38,[1]Suécia.xlsx!$M$2:$M$38,0)</f>
        <v>0.94700000000000006</v>
      </c>
      <c r="AS3" s="2" cm="1">
        <f t="array" ref="AS3:AS39">_xlfn.XLOOKUP(A3:A39,[1]Suíça.xlsx!$B$2:$B$37,[1]Suíça.xlsx!$M$2:$M$37,0)</f>
        <v>0.94899999999999984</v>
      </c>
      <c r="AT3" s="2" cm="1">
        <f t="array" ref="AT3:AT39">_xlfn.XLOOKUP(A3:A39,[1]Tunísia.xlsx!$B$2:$B$38,[1]Tunísia.xlsx!$L$2:$L$38,0)</f>
        <v>0.88200000000000001</v>
      </c>
      <c r="AU3" s="2" cm="1">
        <f t="array" ref="AU3:AU39">_xlfn.XLOOKUP(A3:A39,[1]Turquia.xlsx!$B$2:$B$38,[1]Turquia.xlsx!$M$2:$M$38,0)</f>
        <v>1.01</v>
      </c>
      <c r="AV3" s="2" cm="1">
        <f t="array" ref="AV3:AV39">_xlfn.XLOOKUP(A3:A39,[1]Uruguai.xlsx!$B$2:$B$38,[1]Uruguai.xlsx!$M$2:$M$38,0)</f>
        <v>0.92600000000000016</v>
      </c>
      <c r="AW3" s="2" cm="1">
        <f t="array" ref="AW3:AW39">_xlfn.XLOOKUP(A3:A39,[1]Uzbequistão.xlsx!$B$2:$B$37,[1]Uzbequistão.xlsx!$L$2:$L$37,0)</f>
        <v>0.56999999999999995</v>
      </c>
    </row>
    <row r="4" spans="1:49" x14ac:dyDescent="0.25">
      <c r="A4" s="1" t="s">
        <v>1</v>
      </c>
      <c r="B4" s="7">
        <v>84</v>
      </c>
      <c r="C4" s="2">
        <v>99.4</v>
      </c>
      <c r="D4" s="2">
        <v>92.555555555555557</v>
      </c>
      <c r="E4" s="2">
        <v>78.5</v>
      </c>
      <c r="F4" s="2">
        <v>81.857142857142861</v>
      </c>
      <c r="G4" s="2">
        <v>52.8</v>
      </c>
      <c r="H4" s="2">
        <v>114.4</v>
      </c>
      <c r="I4" s="2">
        <v>66.900000000000006</v>
      </c>
      <c r="J4" s="2">
        <v>102.6</v>
      </c>
      <c r="K4" s="2" t="str">
        <v>12</v>
      </c>
      <c r="L4" s="2">
        <v>83.333333333333329</v>
      </c>
      <c r="M4" s="2">
        <v>87.222222222222229</v>
      </c>
      <c r="N4" s="2">
        <v>78.5</v>
      </c>
      <c r="O4" s="2">
        <v>77</v>
      </c>
      <c r="P4" s="2">
        <v>73.777777777777771</v>
      </c>
      <c r="Q4" s="2">
        <v>82</v>
      </c>
      <c r="R4" s="2">
        <v>99.5</v>
      </c>
      <c r="S4" s="2">
        <v>71.099999999999994</v>
      </c>
      <c r="T4" s="2">
        <v>74.900000000000006</v>
      </c>
      <c r="U4" s="2">
        <v>89.6</v>
      </c>
      <c r="V4" s="2">
        <v>89.8</v>
      </c>
      <c r="W4" s="2">
        <v>128.80000000000001</v>
      </c>
      <c r="X4" s="2">
        <v>60.444444444444443</v>
      </c>
      <c r="Y4" s="2">
        <v>80.900000000000006</v>
      </c>
      <c r="Z4" s="2">
        <v>83.6</v>
      </c>
      <c r="AA4" s="2">
        <v>65.5</v>
      </c>
      <c r="AB4" s="2">
        <v>99.8</v>
      </c>
      <c r="AC4" s="2">
        <v>112.9</v>
      </c>
      <c r="AD4" s="2">
        <v>60.333333333333336</v>
      </c>
      <c r="AE4" s="2">
        <v>33.4</v>
      </c>
      <c r="AF4" s="2">
        <v>73</v>
      </c>
      <c r="AG4" s="2">
        <v>89.6</v>
      </c>
      <c r="AH4" s="2">
        <v>123.7</v>
      </c>
      <c r="AI4" s="2">
        <v>96.6</v>
      </c>
      <c r="AJ4" s="2">
        <v>74.8</v>
      </c>
      <c r="AK4" s="2">
        <v>54.9</v>
      </c>
      <c r="AL4" s="2">
        <v>56.7</v>
      </c>
      <c r="AM4" s="2">
        <v>52.1</v>
      </c>
      <c r="AN4" s="2">
        <v>107</v>
      </c>
      <c r="AO4" s="2">
        <v>80.888888888888886</v>
      </c>
      <c r="AP4" s="2">
        <v>82</v>
      </c>
      <c r="AQ4" s="2">
        <v>86.555555555555557</v>
      </c>
      <c r="AR4" s="2">
        <v>68.2</v>
      </c>
      <c r="AS4" s="2">
        <v>91.1</v>
      </c>
      <c r="AT4" s="2">
        <v>94.555555555555557</v>
      </c>
      <c r="AU4" s="2">
        <v>87.2</v>
      </c>
      <c r="AV4" s="2">
        <v>94.7</v>
      </c>
      <c r="AW4" s="2">
        <v>71.444444444444443</v>
      </c>
    </row>
    <row r="5" spans="1:49" x14ac:dyDescent="0.25">
      <c r="A5" s="1" t="s">
        <v>2</v>
      </c>
      <c r="B5" s="7">
        <v>1.9</v>
      </c>
      <c r="C5" s="2">
        <v>1.5</v>
      </c>
      <c r="D5" s="2">
        <v>1.1111111111111112</v>
      </c>
      <c r="E5" s="2">
        <v>1.9</v>
      </c>
      <c r="F5" s="2">
        <v>1</v>
      </c>
      <c r="G5" s="2">
        <v>1</v>
      </c>
      <c r="H5" s="2">
        <v>1.4</v>
      </c>
      <c r="I5" s="2">
        <v>1.4</v>
      </c>
      <c r="J5" s="2">
        <v>1.2</v>
      </c>
      <c r="K5" s="2" t="str">
        <v>1</v>
      </c>
      <c r="L5" s="2">
        <v>1.7777777777777777</v>
      </c>
      <c r="M5" s="2">
        <v>2.2999999999999998</v>
      </c>
      <c r="N5" s="2">
        <v>0.8571428571428571</v>
      </c>
      <c r="O5" s="2">
        <v>0.9</v>
      </c>
      <c r="P5" s="2">
        <v>1</v>
      </c>
      <c r="Q5" s="2">
        <v>1</v>
      </c>
      <c r="R5" s="2">
        <v>1.2</v>
      </c>
      <c r="S5" s="2">
        <v>1.8</v>
      </c>
      <c r="T5" s="2">
        <v>1.5</v>
      </c>
      <c r="U5" s="2">
        <v>1.3</v>
      </c>
      <c r="V5" s="2">
        <v>1.4</v>
      </c>
      <c r="W5" s="2">
        <v>1</v>
      </c>
      <c r="X5" s="2">
        <v>1.5555555555555556</v>
      </c>
      <c r="Y5" s="2">
        <v>1.8</v>
      </c>
      <c r="Z5" s="2">
        <v>1.3</v>
      </c>
      <c r="AA5" s="2">
        <v>1.8</v>
      </c>
      <c r="AB5" s="2">
        <v>0.6</v>
      </c>
      <c r="AC5" s="2">
        <v>1</v>
      </c>
      <c r="AD5" s="2">
        <v>1.5</v>
      </c>
      <c r="AE5" s="2">
        <v>1.5714285714285714</v>
      </c>
      <c r="AF5" s="2">
        <v>1.4444444444444444</v>
      </c>
      <c r="AG5" s="2">
        <v>1.2</v>
      </c>
      <c r="AH5" s="2">
        <v>1.5</v>
      </c>
      <c r="AI5" s="2">
        <v>2.2999999999999998</v>
      </c>
      <c r="AJ5" s="2">
        <v>0.8</v>
      </c>
      <c r="AK5" s="2">
        <v>1.7</v>
      </c>
      <c r="AL5" s="2">
        <v>1.7</v>
      </c>
      <c r="AM5" s="2">
        <v>1.8</v>
      </c>
      <c r="AN5" s="2">
        <v>1.5</v>
      </c>
      <c r="AO5" s="2">
        <v>0.7</v>
      </c>
      <c r="AP5" s="2">
        <v>1.2</v>
      </c>
      <c r="AQ5" s="2">
        <v>2.1111111111111112</v>
      </c>
      <c r="AR5" s="2">
        <v>2</v>
      </c>
      <c r="AS5" s="2">
        <v>0.6</v>
      </c>
      <c r="AT5" s="2">
        <v>1.7777777777777777</v>
      </c>
      <c r="AU5" s="2">
        <v>2.2000000000000002</v>
      </c>
      <c r="AV5" s="2">
        <v>2.2000000000000002</v>
      </c>
      <c r="AW5" s="2">
        <v>0.55555555555555558</v>
      </c>
    </row>
    <row r="6" spans="1:49" x14ac:dyDescent="0.25">
      <c r="A6" s="1" t="s">
        <v>3</v>
      </c>
      <c r="B6" s="7">
        <v>0.1</v>
      </c>
      <c r="C6" s="2">
        <v>0</v>
      </c>
      <c r="D6" s="2">
        <v>0.22222222222222221</v>
      </c>
      <c r="E6" s="2">
        <v>0</v>
      </c>
      <c r="F6" s="2">
        <v>0.14285714285714285</v>
      </c>
      <c r="G6" s="2">
        <v>0</v>
      </c>
      <c r="H6" s="2">
        <v>0.1</v>
      </c>
      <c r="I6" s="2">
        <v>0</v>
      </c>
      <c r="J6" s="2">
        <v>0</v>
      </c>
      <c r="K6" s="2" t="str">
        <v>0</v>
      </c>
      <c r="L6" s="2">
        <v>0.1111111111111111</v>
      </c>
      <c r="M6" s="2">
        <v>0.44444444444444442</v>
      </c>
      <c r="N6" s="2">
        <v>0.14285714285714285</v>
      </c>
      <c r="O6" s="2">
        <v>0</v>
      </c>
      <c r="P6" s="2">
        <v>0</v>
      </c>
      <c r="Q6" s="2">
        <v>0</v>
      </c>
      <c r="R6" s="2">
        <v>0</v>
      </c>
      <c r="S6" s="2">
        <v>0</v>
      </c>
      <c r="T6" s="2">
        <v>0.2</v>
      </c>
      <c r="U6" s="2">
        <v>0.2</v>
      </c>
      <c r="V6" s="2">
        <v>0</v>
      </c>
      <c r="W6" s="2">
        <v>0</v>
      </c>
      <c r="X6" s="2">
        <v>0</v>
      </c>
      <c r="Y6" s="2">
        <v>0.2</v>
      </c>
      <c r="Z6" s="2">
        <v>0</v>
      </c>
      <c r="AA6" s="2">
        <v>0.2</v>
      </c>
      <c r="AB6" s="2">
        <v>0.1</v>
      </c>
      <c r="AC6" s="2">
        <v>0</v>
      </c>
      <c r="AD6" s="2">
        <v>0.4</v>
      </c>
      <c r="AE6" s="2">
        <v>0.14285714285714285</v>
      </c>
      <c r="AF6" s="2">
        <v>0</v>
      </c>
      <c r="AG6" s="2">
        <v>0.1</v>
      </c>
      <c r="AH6" s="2">
        <v>0</v>
      </c>
      <c r="AI6" s="2">
        <v>0</v>
      </c>
      <c r="AJ6" s="2">
        <v>0</v>
      </c>
      <c r="AK6" s="2">
        <v>0</v>
      </c>
      <c r="AL6" s="2">
        <v>0</v>
      </c>
      <c r="AM6" s="2">
        <v>0.1</v>
      </c>
      <c r="AN6" s="2">
        <v>0.1</v>
      </c>
      <c r="AO6" s="2">
        <v>0</v>
      </c>
      <c r="AP6" s="2">
        <v>0</v>
      </c>
      <c r="AQ6" s="2">
        <v>0.1111111111111111</v>
      </c>
      <c r="AR6" s="2">
        <v>0</v>
      </c>
      <c r="AS6" s="2">
        <v>0</v>
      </c>
      <c r="AT6" s="2">
        <v>0.1111111111111111</v>
      </c>
      <c r="AU6" s="2">
        <v>0.1</v>
      </c>
      <c r="AV6" s="2">
        <v>0.1</v>
      </c>
      <c r="AW6" s="2">
        <v>0.22222222222222221</v>
      </c>
    </row>
    <row r="7" spans="1:49" x14ac:dyDescent="0.25">
      <c r="A7" s="1" t="s">
        <v>4</v>
      </c>
      <c r="B7" s="7">
        <v>2.6666666666666665</v>
      </c>
      <c r="C7" s="2">
        <v>4.3</v>
      </c>
      <c r="D7" s="2">
        <v>3.4444444444444446</v>
      </c>
      <c r="E7" s="2">
        <v>2.5</v>
      </c>
      <c r="F7" s="2">
        <v>1</v>
      </c>
      <c r="G7" s="2">
        <v>1.125</v>
      </c>
      <c r="H7" s="2">
        <v>3</v>
      </c>
      <c r="I7" s="2">
        <v>2.5</v>
      </c>
      <c r="J7" s="2">
        <v>3.6</v>
      </c>
      <c r="K7" s="2" t="str">
        <v>3</v>
      </c>
      <c r="L7" s="2">
        <v>0</v>
      </c>
      <c r="M7" s="2">
        <v>1.3</v>
      </c>
      <c r="N7" s="2">
        <v>2</v>
      </c>
      <c r="O7" s="2">
        <v>2.2999999999999998</v>
      </c>
      <c r="P7" s="2">
        <v>1.375</v>
      </c>
      <c r="Q7" s="2">
        <v>3.7142857142857144</v>
      </c>
      <c r="R7" s="2">
        <v>4.5</v>
      </c>
      <c r="S7" s="2">
        <v>2</v>
      </c>
      <c r="T7" s="2">
        <v>2.4444444444444446</v>
      </c>
      <c r="U7" s="2">
        <v>1.3</v>
      </c>
      <c r="V7" s="2">
        <v>2.5</v>
      </c>
      <c r="W7" s="2">
        <v>5.9</v>
      </c>
      <c r="X7" s="2">
        <v>2.3333333333333335</v>
      </c>
      <c r="Y7" s="2">
        <v>3.9</v>
      </c>
      <c r="Z7" s="2">
        <v>0.25</v>
      </c>
      <c r="AA7" s="2">
        <v>1.5</v>
      </c>
      <c r="AB7" s="2">
        <v>3.9</v>
      </c>
      <c r="AC7" s="2">
        <v>3.3</v>
      </c>
      <c r="AD7" s="2">
        <v>1.5</v>
      </c>
      <c r="AE7" s="2">
        <v>2</v>
      </c>
      <c r="AF7" s="2">
        <v>1.875</v>
      </c>
      <c r="AG7" s="2">
        <v>4</v>
      </c>
      <c r="AH7" s="2">
        <v>2.6666666666666665</v>
      </c>
      <c r="AI7" s="2">
        <v>1.5555555555555556</v>
      </c>
      <c r="AJ7" s="2">
        <v>4.2</v>
      </c>
      <c r="AK7" s="2">
        <v>1.8</v>
      </c>
      <c r="AL7" s="2">
        <v>2.5555555555555554</v>
      </c>
      <c r="AM7" s="2">
        <v>1.4444444444444444</v>
      </c>
      <c r="AN7" s="2">
        <v>3.7</v>
      </c>
      <c r="AO7" s="2">
        <v>2.2000000000000002</v>
      </c>
      <c r="AP7" s="2">
        <v>2.7777777777777777</v>
      </c>
      <c r="AQ7" s="2">
        <v>3.25</v>
      </c>
      <c r="AR7" s="2">
        <v>1.9</v>
      </c>
      <c r="AS7" s="2">
        <v>2.4</v>
      </c>
      <c r="AT7" s="2">
        <v>1.8</v>
      </c>
      <c r="AU7" s="2">
        <v>1.8</v>
      </c>
      <c r="AV7" s="2">
        <v>1.4</v>
      </c>
      <c r="AW7" s="2">
        <v>2</v>
      </c>
    </row>
    <row r="8" spans="1:49" x14ac:dyDescent="0.25">
      <c r="A8" s="1" t="s">
        <v>5</v>
      </c>
      <c r="B8" s="7">
        <v>3.5555555555555554</v>
      </c>
      <c r="C8" s="2">
        <v>4.7</v>
      </c>
      <c r="D8" s="2">
        <v>3.2222222222222223</v>
      </c>
      <c r="E8" s="2">
        <v>2.1</v>
      </c>
      <c r="F8" s="2">
        <v>2.8571428571428572</v>
      </c>
      <c r="G8" s="2">
        <v>1.1000000000000001</v>
      </c>
      <c r="H8" s="2">
        <v>1.9</v>
      </c>
      <c r="I8" s="2">
        <v>4.3</v>
      </c>
      <c r="J8" s="2">
        <v>6.4</v>
      </c>
      <c r="K8" s="2" t="str">
        <v>6</v>
      </c>
      <c r="L8" s="2">
        <v>3.3333333333333335</v>
      </c>
      <c r="M8" s="2">
        <v>2.2999999999999998</v>
      </c>
      <c r="N8" s="2">
        <v>1.5714285714285714</v>
      </c>
      <c r="O8" s="2">
        <v>3.4</v>
      </c>
      <c r="P8" s="2">
        <v>2.6666666666666665</v>
      </c>
      <c r="Q8" s="2">
        <v>4.333333333333333</v>
      </c>
      <c r="R8" s="2">
        <v>5.3</v>
      </c>
      <c r="S8" s="2">
        <v>3.3</v>
      </c>
      <c r="T8" s="2">
        <v>2.2000000000000002</v>
      </c>
      <c r="U8" s="2">
        <v>2.4</v>
      </c>
      <c r="V8" s="2">
        <v>3</v>
      </c>
      <c r="W8" s="2">
        <v>5.9</v>
      </c>
      <c r="X8" s="2">
        <v>2.7777777777777777</v>
      </c>
      <c r="Y8" s="2">
        <v>5.0999999999999996</v>
      </c>
      <c r="Z8" s="2">
        <v>2.2000000000000002</v>
      </c>
      <c r="AA8" s="2">
        <v>2.6666666666666665</v>
      </c>
      <c r="AB8" s="2">
        <v>4.2</v>
      </c>
      <c r="AC8" s="2">
        <v>5.0999999999999996</v>
      </c>
      <c r="AD8" s="2">
        <v>3.3</v>
      </c>
      <c r="AE8" s="2">
        <v>1</v>
      </c>
      <c r="AF8" s="2">
        <v>2.1111111111111112</v>
      </c>
      <c r="AG8" s="2">
        <v>2.6666666666666665</v>
      </c>
      <c r="AH8" s="2">
        <v>4</v>
      </c>
      <c r="AI8" s="2">
        <v>3.1</v>
      </c>
      <c r="AJ8" s="2">
        <v>5</v>
      </c>
      <c r="AK8" s="2">
        <v>3</v>
      </c>
      <c r="AL8" s="2">
        <v>2.2222222222222223</v>
      </c>
      <c r="AM8" s="2">
        <v>2.4</v>
      </c>
      <c r="AN8" s="2">
        <v>4.5999999999999996</v>
      </c>
      <c r="AO8" s="2">
        <v>3</v>
      </c>
      <c r="AP8" s="2">
        <v>4.3</v>
      </c>
      <c r="AQ8" s="2">
        <v>2.75</v>
      </c>
      <c r="AR8" s="2">
        <v>2.2000000000000002</v>
      </c>
      <c r="AS8" s="2">
        <v>2.5</v>
      </c>
      <c r="AT8" s="2">
        <v>1.7777777777777777</v>
      </c>
      <c r="AU8" s="2">
        <v>4.0999999999999996</v>
      </c>
      <c r="AV8" s="2">
        <v>2.9</v>
      </c>
      <c r="AW8" s="2">
        <v>2.4</v>
      </c>
    </row>
    <row r="9" spans="1:49" x14ac:dyDescent="0.25">
      <c r="A9" s="1" t="s">
        <v>6</v>
      </c>
      <c r="B9" s="7">
        <v>7.5555555555555554</v>
      </c>
      <c r="C9" s="2">
        <v>12.9</v>
      </c>
      <c r="D9" s="2">
        <v>7.7777777777777777</v>
      </c>
      <c r="E9" s="2">
        <v>7.833333333333333</v>
      </c>
      <c r="F9" s="2">
        <v>8</v>
      </c>
      <c r="G9" s="2">
        <v>4.5</v>
      </c>
      <c r="H9" s="2">
        <v>9.6</v>
      </c>
      <c r="I9" s="2">
        <v>8.6</v>
      </c>
      <c r="J9" s="2">
        <v>14.4</v>
      </c>
      <c r="K9" s="2" t="str">
        <v>15</v>
      </c>
      <c r="L9" s="2">
        <v>0</v>
      </c>
      <c r="M9" s="2">
        <v>6.7</v>
      </c>
      <c r="N9" s="2">
        <v>5.5</v>
      </c>
      <c r="O9" s="2">
        <v>8.1999999999999993</v>
      </c>
      <c r="P9" s="2">
        <v>5.875</v>
      </c>
      <c r="Q9" s="2">
        <v>10.857142857142858</v>
      </c>
      <c r="R9" s="2">
        <v>14.9</v>
      </c>
      <c r="S9" s="2">
        <v>8.5</v>
      </c>
      <c r="T9" s="2">
        <v>5.7777777777777777</v>
      </c>
      <c r="U9" s="2">
        <v>4.8</v>
      </c>
      <c r="V9" s="2">
        <v>9.1999999999999993</v>
      </c>
      <c r="W9" s="2">
        <v>15.6</v>
      </c>
      <c r="X9" s="2">
        <v>7.8888888888888893</v>
      </c>
      <c r="Y9" s="2">
        <v>12.3</v>
      </c>
      <c r="Z9" s="2">
        <v>4.5</v>
      </c>
      <c r="AA9" s="2">
        <v>5.5</v>
      </c>
      <c r="AB9" s="2">
        <v>11.4</v>
      </c>
      <c r="AC9" s="2">
        <v>11.5</v>
      </c>
      <c r="AD9" s="2">
        <v>5.333333333333333</v>
      </c>
      <c r="AE9" s="2">
        <v>4</v>
      </c>
      <c r="AF9" s="2">
        <v>8.75</v>
      </c>
      <c r="AG9" s="2">
        <v>7</v>
      </c>
      <c r="AH9" s="2">
        <v>9.4444444444444446</v>
      </c>
      <c r="AI9" s="2">
        <v>5.2222222222222223</v>
      </c>
      <c r="AJ9" s="2">
        <v>11.8</v>
      </c>
      <c r="AK9" s="2">
        <v>5.2</v>
      </c>
      <c r="AL9" s="2">
        <v>8.7777777777777786</v>
      </c>
      <c r="AM9" s="2">
        <v>5.333333333333333</v>
      </c>
      <c r="AN9" s="2">
        <v>12.6</v>
      </c>
      <c r="AO9" s="2">
        <v>9</v>
      </c>
      <c r="AP9" s="2">
        <v>9.4444444444444446</v>
      </c>
      <c r="AQ9" s="2">
        <v>10.125</v>
      </c>
      <c r="AR9" s="2">
        <v>7.9</v>
      </c>
      <c r="AS9" s="2">
        <v>6.6</v>
      </c>
      <c r="AT9" s="2">
        <v>5.8</v>
      </c>
      <c r="AU9" s="2">
        <v>7.3</v>
      </c>
      <c r="AV9" s="2">
        <v>6.5</v>
      </c>
      <c r="AW9" s="2">
        <v>4</v>
      </c>
    </row>
    <row r="10" spans="1:49" x14ac:dyDescent="0.25">
      <c r="A10" s="1" t="s">
        <v>7</v>
      </c>
      <c r="B10" s="7">
        <v>6.8888888888888893</v>
      </c>
      <c r="C10" s="2">
        <v>4.8</v>
      </c>
      <c r="D10" s="2">
        <v>4.7777777777777777</v>
      </c>
      <c r="E10" s="2">
        <v>2.3333333333333335</v>
      </c>
      <c r="F10" s="2">
        <v>7</v>
      </c>
      <c r="G10" s="2">
        <v>2.125</v>
      </c>
      <c r="H10" s="2">
        <v>2.7</v>
      </c>
      <c r="I10" s="2">
        <v>4.8</v>
      </c>
      <c r="J10" s="2">
        <v>6</v>
      </c>
      <c r="K10" s="2" t="str">
        <v>6</v>
      </c>
      <c r="L10" s="2">
        <v>0</v>
      </c>
      <c r="M10" s="2">
        <v>3.8</v>
      </c>
      <c r="N10" s="2">
        <v>2.5</v>
      </c>
      <c r="O10" s="2">
        <v>4.7</v>
      </c>
      <c r="P10" s="2">
        <v>2.5</v>
      </c>
      <c r="Q10" s="2">
        <v>4.5714285714285712</v>
      </c>
      <c r="R10" s="2">
        <v>5.6</v>
      </c>
      <c r="S10" s="2">
        <v>4.375</v>
      </c>
      <c r="T10" s="2">
        <v>4.1111111111111107</v>
      </c>
      <c r="U10" s="2">
        <v>4.5</v>
      </c>
      <c r="V10" s="2">
        <v>3.1</v>
      </c>
      <c r="W10" s="2">
        <v>5.2</v>
      </c>
      <c r="X10" s="2">
        <v>3.7777777777777777</v>
      </c>
      <c r="Y10" s="2">
        <v>6.8</v>
      </c>
      <c r="Z10" s="2">
        <v>2</v>
      </c>
      <c r="AA10" s="2">
        <v>4.625</v>
      </c>
      <c r="AB10" s="2">
        <v>4.0999999999999996</v>
      </c>
      <c r="AC10" s="2">
        <v>5.3</v>
      </c>
      <c r="AD10" s="2">
        <v>3.3333333333333335</v>
      </c>
      <c r="AE10" s="2">
        <v>4</v>
      </c>
      <c r="AF10" s="2">
        <v>2.875</v>
      </c>
      <c r="AG10" s="2">
        <v>4</v>
      </c>
      <c r="AH10" s="2">
        <v>4.5555555555555554</v>
      </c>
      <c r="AI10" s="2">
        <v>4.5555555555555554</v>
      </c>
      <c r="AJ10" s="2">
        <v>3.7</v>
      </c>
      <c r="AK10" s="2">
        <v>4</v>
      </c>
      <c r="AL10" s="2">
        <v>3.8888888888888888</v>
      </c>
      <c r="AM10" s="2">
        <v>3.6666666666666665</v>
      </c>
      <c r="AN10" s="2">
        <v>6.9</v>
      </c>
      <c r="AO10" s="2">
        <v>5.2</v>
      </c>
      <c r="AP10" s="2">
        <v>4.4444444444444446</v>
      </c>
      <c r="AQ10" s="2">
        <v>4.875</v>
      </c>
      <c r="AR10" s="2">
        <v>2.1</v>
      </c>
      <c r="AS10" s="2">
        <v>3.8</v>
      </c>
      <c r="AT10" s="2">
        <v>3.4</v>
      </c>
      <c r="AU10" s="2">
        <v>6</v>
      </c>
      <c r="AV10" s="2">
        <v>4.4000000000000004</v>
      </c>
      <c r="AW10" s="2">
        <v>3</v>
      </c>
    </row>
    <row r="11" spans="1:49" x14ac:dyDescent="0.25">
      <c r="A11" s="1" t="s">
        <v>8</v>
      </c>
      <c r="B11" s="7">
        <v>4.7777777777777777</v>
      </c>
      <c r="C11" s="2">
        <v>6.3</v>
      </c>
      <c r="D11" s="2">
        <v>5.5555555555555554</v>
      </c>
      <c r="E11" s="2">
        <v>4.7</v>
      </c>
      <c r="F11" s="2">
        <v>2.7142857142857144</v>
      </c>
      <c r="G11" s="2">
        <v>3.4</v>
      </c>
      <c r="H11" s="2">
        <v>6.2</v>
      </c>
      <c r="I11" s="2">
        <v>4.7</v>
      </c>
      <c r="J11" s="2">
        <v>7.6</v>
      </c>
      <c r="K11" s="2" t="str">
        <v>6</v>
      </c>
      <c r="L11" s="2">
        <v>4.1428571428571432</v>
      </c>
      <c r="M11" s="2">
        <v>4.4000000000000004</v>
      </c>
      <c r="N11" s="2">
        <v>3.4285714285714284</v>
      </c>
      <c r="O11" s="2">
        <v>5.3</v>
      </c>
      <c r="P11" s="2">
        <v>2.7777777777777777</v>
      </c>
      <c r="Q11" s="2">
        <v>4</v>
      </c>
      <c r="R11" s="2">
        <v>7.4</v>
      </c>
      <c r="S11" s="2">
        <v>4.5</v>
      </c>
      <c r="T11" s="2">
        <v>4.0999999999999996</v>
      </c>
      <c r="U11" s="2">
        <v>3.2</v>
      </c>
      <c r="V11" s="2">
        <v>4.7</v>
      </c>
      <c r="W11" s="2">
        <v>8.6</v>
      </c>
      <c r="X11" s="2">
        <v>5.2222222222222223</v>
      </c>
      <c r="Y11" s="2">
        <v>7.1</v>
      </c>
      <c r="Z11" s="2">
        <v>3.6666666666666665</v>
      </c>
      <c r="AA11" s="2">
        <v>3.5</v>
      </c>
      <c r="AB11" s="2">
        <v>5.8</v>
      </c>
      <c r="AC11" s="2">
        <v>6.7</v>
      </c>
      <c r="AD11" s="2">
        <v>2.5</v>
      </c>
      <c r="AE11" s="2">
        <v>4.25</v>
      </c>
      <c r="AF11" s="2">
        <v>4.5555555555555554</v>
      </c>
      <c r="AG11" s="2">
        <v>4.8</v>
      </c>
      <c r="AH11" s="2">
        <v>4.8</v>
      </c>
      <c r="AI11" s="2">
        <v>3.9</v>
      </c>
      <c r="AJ11" s="2">
        <v>5.3</v>
      </c>
      <c r="AK11" s="2">
        <v>3.4</v>
      </c>
      <c r="AL11" s="2">
        <v>4.666666666666667</v>
      </c>
      <c r="AM11" s="2">
        <v>3.7</v>
      </c>
      <c r="AN11" s="2">
        <v>6.5</v>
      </c>
      <c r="AO11" s="2">
        <v>3.5</v>
      </c>
      <c r="AP11" s="2">
        <v>4.7</v>
      </c>
      <c r="AQ11" s="2">
        <v>7.666666666666667</v>
      </c>
      <c r="AR11" s="2">
        <v>3.9</v>
      </c>
      <c r="AS11" s="2">
        <v>4.3</v>
      </c>
      <c r="AT11" s="2">
        <v>4.2222222222222223</v>
      </c>
      <c r="AU11" s="2">
        <v>4.3</v>
      </c>
      <c r="AV11" s="2">
        <v>2.7</v>
      </c>
      <c r="AW11" s="2">
        <v>4.8</v>
      </c>
    </row>
    <row r="12" spans="1:49" x14ac:dyDescent="0.25">
      <c r="A12" s="1" t="s">
        <v>9</v>
      </c>
      <c r="B12" s="7">
        <v>6.1111111111111107</v>
      </c>
      <c r="C12" s="2">
        <v>6.7</v>
      </c>
      <c r="D12" s="2">
        <v>3.7777777777777777</v>
      </c>
      <c r="E12" s="2">
        <v>5.6</v>
      </c>
      <c r="F12" s="2">
        <v>4.5714285714285712</v>
      </c>
      <c r="G12" s="2">
        <v>2.7</v>
      </c>
      <c r="H12" s="2">
        <v>4.2</v>
      </c>
      <c r="I12" s="2">
        <v>4.4000000000000004</v>
      </c>
      <c r="J12" s="2">
        <v>6.4</v>
      </c>
      <c r="K12" s="2" t="str">
        <v>9</v>
      </c>
      <c r="L12" s="2">
        <v>5.4285714285714288</v>
      </c>
      <c r="M12" s="2">
        <v>4.2</v>
      </c>
      <c r="N12" s="2">
        <v>5.1428571428571432</v>
      </c>
      <c r="O12" s="2">
        <v>4.2</v>
      </c>
      <c r="P12" s="2">
        <v>3.3333333333333335</v>
      </c>
      <c r="Q12" s="2">
        <v>5.4444444444444446</v>
      </c>
      <c r="R12" s="2">
        <v>7.8</v>
      </c>
      <c r="S12" s="2">
        <v>3.9</v>
      </c>
      <c r="T12" s="2">
        <v>3.1</v>
      </c>
      <c r="U12" s="2">
        <v>3.7</v>
      </c>
      <c r="V12" s="2">
        <v>4.5999999999999996</v>
      </c>
      <c r="W12" s="2">
        <v>6.3</v>
      </c>
      <c r="X12" s="2">
        <v>3.6666666666666665</v>
      </c>
      <c r="Y12" s="2">
        <v>6.9</v>
      </c>
      <c r="Z12" s="2">
        <v>4</v>
      </c>
      <c r="AA12" s="2">
        <v>4</v>
      </c>
      <c r="AB12" s="2">
        <v>5.5</v>
      </c>
      <c r="AC12" s="2">
        <v>5.2</v>
      </c>
      <c r="AD12" s="2">
        <v>3.6</v>
      </c>
      <c r="AE12" s="2">
        <v>2.25</v>
      </c>
      <c r="AF12" s="2">
        <v>4.1111111111111107</v>
      </c>
      <c r="AG12" s="2">
        <v>3.3</v>
      </c>
      <c r="AH12" s="2">
        <v>5.3</v>
      </c>
      <c r="AI12" s="2">
        <v>4.2</v>
      </c>
      <c r="AJ12" s="2">
        <v>5.2</v>
      </c>
      <c r="AK12" s="2">
        <v>3.1</v>
      </c>
      <c r="AL12" s="2">
        <v>5.7777777777777777</v>
      </c>
      <c r="AM12" s="2">
        <v>2.9</v>
      </c>
      <c r="AN12" s="2">
        <v>8.4</v>
      </c>
      <c r="AO12" s="2">
        <v>6.375</v>
      </c>
      <c r="AP12" s="2">
        <v>5.5</v>
      </c>
      <c r="AQ12" s="2">
        <v>5</v>
      </c>
      <c r="AR12" s="2">
        <v>4.0999999999999996</v>
      </c>
      <c r="AS12" s="2">
        <v>3.6</v>
      </c>
      <c r="AT12" s="2">
        <v>5.1111111111111107</v>
      </c>
      <c r="AU12" s="2">
        <v>4.9000000000000004</v>
      </c>
      <c r="AV12" s="2">
        <v>5.3</v>
      </c>
      <c r="AW12" s="2">
        <v>4.5999999999999996</v>
      </c>
    </row>
    <row r="13" spans="1:49" x14ac:dyDescent="0.25">
      <c r="A13" s="1" t="s">
        <v>10</v>
      </c>
      <c r="B13" s="7">
        <v>1.5555555555555556</v>
      </c>
      <c r="C13" s="2">
        <v>2</v>
      </c>
      <c r="D13" s="2">
        <v>2.2222222222222223</v>
      </c>
      <c r="E13" s="2">
        <v>2.1428571428571428</v>
      </c>
      <c r="F13" s="2">
        <v>1</v>
      </c>
      <c r="G13" s="2">
        <v>4</v>
      </c>
      <c r="H13" s="2">
        <v>1.4</v>
      </c>
      <c r="I13" s="2">
        <v>2.2000000000000002</v>
      </c>
      <c r="J13" s="2">
        <v>1.7</v>
      </c>
      <c r="K13" s="2" t="str">
        <v>0</v>
      </c>
      <c r="L13" s="2">
        <v>0</v>
      </c>
      <c r="M13" s="2">
        <v>1.6</v>
      </c>
      <c r="N13" s="2">
        <v>2</v>
      </c>
      <c r="O13" s="2">
        <v>2</v>
      </c>
      <c r="P13" s="2">
        <v>2.625</v>
      </c>
      <c r="Q13" s="2">
        <v>2</v>
      </c>
      <c r="R13" s="2">
        <v>2.2999999999999998</v>
      </c>
      <c r="S13" s="2">
        <v>2.875</v>
      </c>
      <c r="T13" s="2">
        <v>3.5555555555555554</v>
      </c>
      <c r="U13" s="2">
        <v>2.5</v>
      </c>
      <c r="V13" s="2">
        <v>2.6</v>
      </c>
      <c r="W13" s="2">
        <v>1.9</v>
      </c>
      <c r="X13" s="2">
        <v>3.3333333333333335</v>
      </c>
      <c r="Y13" s="2">
        <v>1.9</v>
      </c>
      <c r="Z13" s="2">
        <v>3</v>
      </c>
      <c r="AA13" s="2">
        <v>3.375</v>
      </c>
      <c r="AB13" s="2">
        <v>1.7</v>
      </c>
      <c r="AC13" s="2">
        <v>1.4</v>
      </c>
      <c r="AD13" s="2">
        <v>3.3333333333333335</v>
      </c>
      <c r="AE13" s="2">
        <v>2</v>
      </c>
      <c r="AF13" s="2">
        <v>2.5</v>
      </c>
      <c r="AG13" s="2">
        <v>1</v>
      </c>
      <c r="AH13" s="2">
        <v>1.8888888888888888</v>
      </c>
      <c r="AI13" s="2">
        <v>2.2222222222222223</v>
      </c>
      <c r="AJ13" s="2">
        <v>1.8</v>
      </c>
      <c r="AK13" s="2">
        <v>4.5999999999999996</v>
      </c>
      <c r="AL13" s="2">
        <v>2.1111111111111112</v>
      </c>
      <c r="AM13" s="2">
        <v>2.2999999999999998</v>
      </c>
      <c r="AN13" s="2">
        <v>2.1</v>
      </c>
      <c r="AO13" s="2">
        <v>2.2000000000000002</v>
      </c>
      <c r="AP13" s="2">
        <v>2.7777777777777777</v>
      </c>
      <c r="AQ13" s="2">
        <v>2.125</v>
      </c>
      <c r="AR13" s="2">
        <v>3.2</v>
      </c>
      <c r="AS13" s="2">
        <v>1.5</v>
      </c>
      <c r="AT13" s="2">
        <v>1.4</v>
      </c>
      <c r="AU13" s="2">
        <v>2.5</v>
      </c>
      <c r="AV13" s="2">
        <v>2.1</v>
      </c>
      <c r="AW13" s="2">
        <v>2</v>
      </c>
    </row>
    <row r="14" spans="1:49" x14ac:dyDescent="0.25">
      <c r="A14" s="1" t="s">
        <v>11</v>
      </c>
      <c r="B14" s="7">
        <v>6.7777777777777777</v>
      </c>
      <c r="C14" s="2">
        <v>8.5</v>
      </c>
      <c r="D14" s="2">
        <v>7.8888888888888893</v>
      </c>
      <c r="E14" s="2">
        <v>10</v>
      </c>
      <c r="F14" s="2">
        <v>6.5</v>
      </c>
      <c r="G14" s="2">
        <v>8.875</v>
      </c>
      <c r="H14" s="2">
        <v>8.9</v>
      </c>
      <c r="I14" s="2">
        <v>9.1</v>
      </c>
      <c r="J14" s="2">
        <v>9.3000000000000007</v>
      </c>
      <c r="K14" s="2" t="str">
        <v>7</v>
      </c>
      <c r="L14" s="2">
        <v>0</v>
      </c>
      <c r="M14" s="2">
        <v>7.3</v>
      </c>
      <c r="N14" s="2">
        <v>3</v>
      </c>
      <c r="O14" s="2">
        <v>7</v>
      </c>
      <c r="P14" s="2">
        <v>6.875</v>
      </c>
      <c r="Q14" s="2">
        <v>10.714285714285714</v>
      </c>
      <c r="R14" s="2">
        <v>6.8</v>
      </c>
      <c r="S14" s="2">
        <v>5</v>
      </c>
      <c r="T14" s="2">
        <v>9</v>
      </c>
      <c r="U14" s="2">
        <v>8.4</v>
      </c>
      <c r="V14" s="2">
        <v>6.4</v>
      </c>
      <c r="W14" s="2">
        <v>5.9</v>
      </c>
      <c r="X14" s="2">
        <v>7.5555555555555554</v>
      </c>
      <c r="Y14" s="2">
        <v>10.1</v>
      </c>
      <c r="Z14" s="2">
        <v>6.5</v>
      </c>
      <c r="AA14" s="2">
        <v>6.25</v>
      </c>
      <c r="AB14" s="2">
        <v>6.6</v>
      </c>
      <c r="AC14" s="2">
        <v>8</v>
      </c>
      <c r="AD14" s="2">
        <v>7.166666666666667</v>
      </c>
      <c r="AE14" s="2">
        <v>3</v>
      </c>
      <c r="AF14" s="2">
        <v>7.5</v>
      </c>
      <c r="AG14" s="2">
        <v>9</v>
      </c>
      <c r="AH14" s="2">
        <v>9.3333333333333339</v>
      </c>
      <c r="AI14" s="2">
        <v>4.666666666666667</v>
      </c>
      <c r="AJ14" s="2">
        <v>8.6999999999999993</v>
      </c>
      <c r="AK14" s="2">
        <v>6.8</v>
      </c>
      <c r="AL14" s="2">
        <v>6.4444444444444446</v>
      </c>
      <c r="AM14" s="2">
        <v>5.666666666666667</v>
      </c>
      <c r="AN14" s="2">
        <v>8</v>
      </c>
      <c r="AO14" s="2">
        <v>8.1999999999999993</v>
      </c>
      <c r="AP14" s="2">
        <v>5.7777777777777777</v>
      </c>
      <c r="AQ14" s="2">
        <v>9.875</v>
      </c>
      <c r="AR14" s="2">
        <v>8</v>
      </c>
      <c r="AS14" s="2">
        <v>7.5</v>
      </c>
      <c r="AT14" s="2">
        <v>11.2</v>
      </c>
      <c r="AU14" s="2">
        <v>8</v>
      </c>
      <c r="AV14" s="2">
        <v>7.4</v>
      </c>
      <c r="AW14" s="2">
        <v>10</v>
      </c>
    </row>
    <row r="15" spans="1:49" x14ac:dyDescent="0.25">
      <c r="A15" s="1" t="s">
        <v>12</v>
      </c>
      <c r="B15" s="7">
        <v>44.666666666666664</v>
      </c>
      <c r="C15" s="2">
        <v>38.9</v>
      </c>
      <c r="D15" s="2">
        <v>39.888888888888886</v>
      </c>
      <c r="E15" s="2">
        <v>47</v>
      </c>
      <c r="F15" s="2">
        <v>74</v>
      </c>
      <c r="G15" s="2">
        <v>43.875</v>
      </c>
      <c r="H15" s="2">
        <v>46.2</v>
      </c>
      <c r="I15" s="2">
        <v>47.6</v>
      </c>
      <c r="J15" s="2">
        <v>45.2</v>
      </c>
      <c r="K15" s="2" t="str">
        <v>50</v>
      </c>
      <c r="L15" s="2">
        <v>0</v>
      </c>
      <c r="M15" s="2">
        <v>49.7</v>
      </c>
      <c r="N15" s="2">
        <v>48.75</v>
      </c>
      <c r="O15" s="2">
        <v>43.1</v>
      </c>
      <c r="P15" s="2">
        <v>36.625</v>
      </c>
      <c r="Q15" s="2">
        <v>45.428571428571431</v>
      </c>
      <c r="R15" s="2">
        <v>44.4</v>
      </c>
      <c r="S15" s="2">
        <v>46.5</v>
      </c>
      <c r="T15" s="2">
        <v>53.777777777777779</v>
      </c>
      <c r="U15" s="2">
        <v>41.3</v>
      </c>
      <c r="V15" s="2">
        <v>46.9</v>
      </c>
      <c r="W15" s="2">
        <v>36.799999999999997</v>
      </c>
      <c r="X15" s="2">
        <v>38</v>
      </c>
      <c r="Y15" s="2">
        <v>46</v>
      </c>
      <c r="Z15" s="2">
        <v>40.25</v>
      </c>
      <c r="AA15" s="2">
        <v>38.25</v>
      </c>
      <c r="AB15" s="2">
        <v>41.4</v>
      </c>
      <c r="AC15" s="2">
        <v>41.3</v>
      </c>
      <c r="AD15" s="2">
        <v>49.166666666666664</v>
      </c>
      <c r="AE15" s="2">
        <v>35</v>
      </c>
      <c r="AF15" s="2">
        <v>44.75</v>
      </c>
      <c r="AG15" s="2">
        <v>52</v>
      </c>
      <c r="AH15" s="2">
        <v>58</v>
      </c>
      <c r="AI15" s="2">
        <v>44.111111111111114</v>
      </c>
      <c r="AJ15" s="2">
        <v>44.3</v>
      </c>
      <c r="AK15" s="2">
        <v>37.799999999999997</v>
      </c>
      <c r="AL15" s="2">
        <v>44.111111111111114</v>
      </c>
      <c r="AM15" s="2">
        <v>51.333333333333336</v>
      </c>
      <c r="AN15" s="2">
        <v>38.799999999999997</v>
      </c>
      <c r="AO15" s="2">
        <v>51</v>
      </c>
      <c r="AP15" s="2">
        <v>51.111111111111114</v>
      </c>
      <c r="AQ15" s="2">
        <v>50.25</v>
      </c>
      <c r="AR15" s="2">
        <v>38.799999999999997</v>
      </c>
      <c r="AS15" s="2">
        <v>42.9</v>
      </c>
      <c r="AT15" s="2">
        <v>47</v>
      </c>
      <c r="AU15" s="2">
        <v>48.2</v>
      </c>
      <c r="AV15" s="2">
        <v>42</v>
      </c>
      <c r="AW15" s="2">
        <v>35</v>
      </c>
    </row>
    <row r="16" spans="1:49" x14ac:dyDescent="0.25">
      <c r="A16" s="1" t="s">
        <v>13</v>
      </c>
      <c r="B16" s="7">
        <v>4.9000000000000004</v>
      </c>
      <c r="C16" s="2">
        <v>6.6</v>
      </c>
      <c r="D16" s="2">
        <v>5</v>
      </c>
      <c r="E16" s="2">
        <v>5</v>
      </c>
      <c r="F16" s="2">
        <v>5.2857142857142856</v>
      </c>
      <c r="G16" s="2">
        <v>1.8</v>
      </c>
      <c r="H16" s="2">
        <v>4.4000000000000004</v>
      </c>
      <c r="I16" s="2">
        <v>4.8</v>
      </c>
      <c r="J16" s="2">
        <v>9.1</v>
      </c>
      <c r="K16" s="2" t="str">
        <v>5</v>
      </c>
      <c r="L16" s="2">
        <v>4.4444444444444446</v>
      </c>
      <c r="M16" s="2">
        <v>6.3</v>
      </c>
      <c r="N16" s="2">
        <v>5.4285714285714288</v>
      </c>
      <c r="O16" s="2">
        <v>4.4000000000000004</v>
      </c>
      <c r="P16" s="2">
        <v>5.2222222222222223</v>
      </c>
      <c r="Q16" s="2">
        <v>6.1111111111111107</v>
      </c>
      <c r="R16" s="2">
        <v>8</v>
      </c>
      <c r="S16" s="2">
        <v>3.9</v>
      </c>
      <c r="T16" s="2">
        <v>2.9</v>
      </c>
      <c r="U16" s="2">
        <v>2.8</v>
      </c>
      <c r="V16" s="2">
        <v>5.3</v>
      </c>
      <c r="W16" s="2">
        <v>6.7</v>
      </c>
      <c r="X16" s="2">
        <v>4.4444444444444446</v>
      </c>
      <c r="Y16" s="2">
        <v>6</v>
      </c>
      <c r="Z16" s="2">
        <v>4.5</v>
      </c>
      <c r="AA16" s="2">
        <v>3.7</v>
      </c>
      <c r="AB16" s="2">
        <v>6.2</v>
      </c>
      <c r="AC16" s="2">
        <v>7.7</v>
      </c>
      <c r="AD16" s="2">
        <v>4.2</v>
      </c>
      <c r="AE16" s="2">
        <v>3.2857142857142856</v>
      </c>
      <c r="AF16" s="2">
        <v>3.8888888888888888</v>
      </c>
      <c r="AG16" s="2">
        <v>4.9000000000000004</v>
      </c>
      <c r="AH16" s="2">
        <v>5.4</v>
      </c>
      <c r="AI16" s="2">
        <v>3.7</v>
      </c>
      <c r="AJ16" s="2">
        <v>4.8</v>
      </c>
      <c r="AK16" s="2">
        <v>3.5</v>
      </c>
      <c r="AL16" s="2">
        <v>3.8</v>
      </c>
      <c r="AM16" s="2">
        <v>4</v>
      </c>
      <c r="AN16" s="2">
        <v>5.9</v>
      </c>
      <c r="AO16" s="2">
        <v>4.7</v>
      </c>
      <c r="AP16" s="2">
        <v>6.4</v>
      </c>
      <c r="AQ16" s="2">
        <v>6.333333333333333</v>
      </c>
      <c r="AR16" s="2">
        <v>5.2</v>
      </c>
      <c r="AS16" s="2">
        <v>3.7</v>
      </c>
      <c r="AT16" s="2">
        <v>5.2222222222222223</v>
      </c>
      <c r="AU16" s="2">
        <v>6.3</v>
      </c>
      <c r="AV16" s="2">
        <v>4.5</v>
      </c>
      <c r="AW16" s="2">
        <v>4.4444444444444446</v>
      </c>
    </row>
    <row r="17" spans="1:49" x14ac:dyDescent="0.25">
      <c r="A17" s="1" t="s">
        <v>14</v>
      </c>
      <c r="B17" s="7">
        <v>13.333333333333334</v>
      </c>
      <c r="C17" s="2">
        <v>11.2</v>
      </c>
      <c r="D17" s="2">
        <v>11.777777777777779</v>
      </c>
      <c r="E17" s="2">
        <v>16.571428571428573</v>
      </c>
      <c r="F17" s="2">
        <v>9</v>
      </c>
      <c r="G17" s="2">
        <v>10.625</v>
      </c>
      <c r="H17" s="2">
        <v>14.3</v>
      </c>
      <c r="I17" s="2">
        <v>11</v>
      </c>
      <c r="J17" s="2">
        <v>10.7</v>
      </c>
      <c r="K17" s="2" t="str">
        <v>21</v>
      </c>
      <c r="L17" s="2">
        <v>0</v>
      </c>
      <c r="M17" s="2">
        <v>13.6</v>
      </c>
      <c r="N17" s="2">
        <v>9</v>
      </c>
      <c r="O17" s="2">
        <v>13.5</v>
      </c>
      <c r="P17" s="2">
        <v>12.125</v>
      </c>
      <c r="Q17" s="2">
        <v>15</v>
      </c>
      <c r="R17" s="2">
        <v>10.199999999999999</v>
      </c>
      <c r="S17" s="2">
        <v>12.75</v>
      </c>
      <c r="T17" s="2">
        <v>11.888888888888889</v>
      </c>
      <c r="U17" s="2">
        <v>13.6</v>
      </c>
      <c r="V17" s="2">
        <v>11.6</v>
      </c>
      <c r="W17" s="2">
        <v>11.8</v>
      </c>
      <c r="X17" s="2">
        <v>11</v>
      </c>
      <c r="Y17" s="2">
        <v>10.8</v>
      </c>
      <c r="Z17" s="2">
        <v>10.25</v>
      </c>
      <c r="AA17" s="2">
        <v>13.125</v>
      </c>
      <c r="AB17" s="2">
        <v>9.6999999999999993</v>
      </c>
      <c r="AC17" s="2">
        <v>9.1999999999999993</v>
      </c>
      <c r="AD17" s="2">
        <v>12.333333333333334</v>
      </c>
      <c r="AE17" s="2">
        <v>16</v>
      </c>
      <c r="AF17" s="2">
        <v>14.875</v>
      </c>
      <c r="AG17" s="2">
        <v>16</v>
      </c>
      <c r="AH17" s="2">
        <v>16</v>
      </c>
      <c r="AI17" s="2">
        <v>13.333333333333334</v>
      </c>
      <c r="AJ17" s="2">
        <v>9.1</v>
      </c>
      <c r="AK17" s="2">
        <v>12</v>
      </c>
      <c r="AL17" s="2">
        <v>14.555555555555555</v>
      </c>
      <c r="AM17" s="2">
        <v>13.2</v>
      </c>
      <c r="AN17" s="2">
        <v>8.1</v>
      </c>
      <c r="AO17" s="2">
        <v>16.8</v>
      </c>
      <c r="AP17" s="2">
        <v>17.111111111111111</v>
      </c>
      <c r="AQ17" s="2">
        <v>16.625</v>
      </c>
      <c r="AR17" s="2">
        <v>14.8</v>
      </c>
      <c r="AS17" s="2">
        <v>9</v>
      </c>
      <c r="AT17" s="2">
        <v>16.600000000000001</v>
      </c>
      <c r="AU17" s="2">
        <v>9.1</v>
      </c>
      <c r="AV17" s="2">
        <v>13.5</v>
      </c>
      <c r="AW17" s="2">
        <v>5</v>
      </c>
    </row>
    <row r="18" spans="1:49" x14ac:dyDescent="0.25">
      <c r="A18" s="1" t="s">
        <v>15</v>
      </c>
      <c r="B18" s="7">
        <v>15.333333333333334</v>
      </c>
      <c r="C18" s="2">
        <v>8.9</v>
      </c>
      <c r="D18" s="2">
        <v>10.111111111111111</v>
      </c>
      <c r="E18" s="2">
        <v>15.666666666666666</v>
      </c>
      <c r="F18" s="2">
        <v>16</v>
      </c>
      <c r="G18" s="2">
        <v>11.875</v>
      </c>
      <c r="H18" s="2">
        <v>9.9</v>
      </c>
      <c r="I18" s="2">
        <v>13.2</v>
      </c>
      <c r="J18" s="2">
        <v>10.199999999999999</v>
      </c>
      <c r="K18" s="2" t="str">
        <v>11</v>
      </c>
      <c r="L18" s="2">
        <v>0</v>
      </c>
      <c r="M18" s="2">
        <v>15.6</v>
      </c>
      <c r="N18" s="2">
        <v>12.75</v>
      </c>
      <c r="O18" s="2">
        <v>12.7</v>
      </c>
      <c r="P18" s="2">
        <v>10</v>
      </c>
      <c r="Q18" s="2">
        <v>11</v>
      </c>
      <c r="R18" s="2">
        <v>10.199999999999999</v>
      </c>
      <c r="S18" s="2">
        <v>12.375</v>
      </c>
      <c r="T18" s="2">
        <v>13.222222222222221</v>
      </c>
      <c r="U18" s="2">
        <v>10.9</v>
      </c>
      <c r="V18" s="2">
        <v>12</v>
      </c>
      <c r="W18" s="2">
        <v>8.1</v>
      </c>
      <c r="X18" s="2">
        <v>9.2222222222222214</v>
      </c>
      <c r="Y18" s="2">
        <v>12.2</v>
      </c>
      <c r="Z18" s="2">
        <v>12.25</v>
      </c>
      <c r="AA18" s="2">
        <v>9.875</v>
      </c>
      <c r="AB18" s="2">
        <v>11.5</v>
      </c>
      <c r="AC18" s="2">
        <v>10.9</v>
      </c>
      <c r="AD18" s="2">
        <v>12.5</v>
      </c>
      <c r="AE18" s="2">
        <v>9</v>
      </c>
      <c r="AF18" s="2">
        <v>9.875</v>
      </c>
      <c r="AG18" s="2">
        <v>10</v>
      </c>
      <c r="AH18" s="2">
        <v>19.777777777777779</v>
      </c>
      <c r="AI18" s="2">
        <v>14.333333333333334</v>
      </c>
      <c r="AJ18" s="2">
        <v>11.3</v>
      </c>
      <c r="AK18" s="2">
        <v>10.199999999999999</v>
      </c>
      <c r="AL18" s="2">
        <v>11.777777777777779</v>
      </c>
      <c r="AM18" s="2">
        <v>11.111111111111111</v>
      </c>
      <c r="AN18" s="2">
        <v>10.1</v>
      </c>
      <c r="AO18" s="2">
        <v>12.4</v>
      </c>
      <c r="AP18" s="2">
        <v>9.3333333333333339</v>
      </c>
      <c r="AQ18" s="2">
        <v>12.5</v>
      </c>
      <c r="AR18" s="2">
        <v>12</v>
      </c>
      <c r="AS18" s="2">
        <v>10.4</v>
      </c>
      <c r="AT18" s="2">
        <v>12.6</v>
      </c>
      <c r="AU18" s="2">
        <v>11.3</v>
      </c>
      <c r="AV18" s="2">
        <v>10.199999999999999</v>
      </c>
      <c r="AW18" s="2">
        <v>7</v>
      </c>
    </row>
    <row r="19" spans="1:49" x14ac:dyDescent="0.25">
      <c r="A19" s="1" t="s">
        <v>16</v>
      </c>
      <c r="B19" s="7">
        <v>0</v>
      </c>
      <c r="C19" s="2">
        <v>0.25</v>
      </c>
      <c r="D19" s="2">
        <v>0</v>
      </c>
      <c r="E19" s="2">
        <v>0</v>
      </c>
      <c r="F19" s="2">
        <v>0</v>
      </c>
      <c r="G19" s="2">
        <v>0.5</v>
      </c>
      <c r="H19" s="2">
        <v>0</v>
      </c>
      <c r="I19" s="2">
        <v>0.5</v>
      </c>
      <c r="J19" s="2">
        <v>0.6</v>
      </c>
      <c r="K19" s="2">
        <v>0</v>
      </c>
      <c r="L19" s="2">
        <v>0</v>
      </c>
      <c r="M19" s="2">
        <v>0.66666666666666663</v>
      </c>
      <c r="N19" s="2">
        <v>0.5</v>
      </c>
      <c r="O19" s="2">
        <v>0.66666666666666663</v>
      </c>
      <c r="P19" s="2">
        <v>0.5</v>
      </c>
      <c r="Q19" s="2">
        <v>0.66666666666666663</v>
      </c>
      <c r="R19" s="2">
        <v>0.25</v>
      </c>
      <c r="S19" s="2">
        <v>0</v>
      </c>
      <c r="T19" s="2">
        <v>0</v>
      </c>
      <c r="U19" s="2">
        <v>1</v>
      </c>
      <c r="V19" s="2">
        <v>0.25</v>
      </c>
      <c r="W19" s="2">
        <v>0</v>
      </c>
      <c r="X19" s="2">
        <v>0</v>
      </c>
      <c r="Y19" s="2">
        <v>0.5</v>
      </c>
      <c r="Z19" s="2">
        <v>1</v>
      </c>
      <c r="AA19" s="2">
        <v>0.5</v>
      </c>
      <c r="AB19" s="2">
        <v>0</v>
      </c>
      <c r="AC19" s="2">
        <v>0.5</v>
      </c>
      <c r="AD19" s="2">
        <v>0</v>
      </c>
      <c r="AE19" s="2">
        <v>0</v>
      </c>
      <c r="AF19" s="2">
        <v>0.33333333333333331</v>
      </c>
      <c r="AG19" s="2">
        <v>0</v>
      </c>
      <c r="AH19" s="2">
        <v>0.5</v>
      </c>
      <c r="AI19" s="2">
        <v>0</v>
      </c>
      <c r="AJ19" s="2">
        <v>0.5</v>
      </c>
      <c r="AK19" s="2">
        <v>0</v>
      </c>
      <c r="AL19" s="2">
        <v>0</v>
      </c>
      <c r="AM19" s="2">
        <v>1</v>
      </c>
      <c r="AN19" s="2">
        <v>0.5</v>
      </c>
      <c r="AO19" s="2">
        <v>0.5</v>
      </c>
      <c r="AP19" s="2">
        <v>1</v>
      </c>
      <c r="AQ19" s="2">
        <v>0.16666666666666666</v>
      </c>
      <c r="AR19" s="2">
        <v>0.75</v>
      </c>
      <c r="AS19" s="2">
        <v>0</v>
      </c>
      <c r="AT19" s="2">
        <v>1</v>
      </c>
      <c r="AU19" s="2">
        <v>0</v>
      </c>
      <c r="AV19" s="2">
        <v>0.5</v>
      </c>
      <c r="AW19" s="2">
        <v>0</v>
      </c>
    </row>
    <row r="20" spans="1:49" x14ac:dyDescent="0.25">
      <c r="A20" s="1" t="s">
        <v>17</v>
      </c>
      <c r="B20" s="7">
        <v>1.1128571428571428</v>
      </c>
      <c r="C20" s="2">
        <v>2.403</v>
      </c>
      <c r="D20" s="2">
        <v>1.5033333333333334</v>
      </c>
      <c r="E20" s="2">
        <v>1.2316666666666667</v>
      </c>
      <c r="F20" s="2">
        <v>0</v>
      </c>
      <c r="G20" s="2">
        <v>0.56499999999999995</v>
      </c>
      <c r="H20" s="2">
        <v>2.0649999999999999</v>
      </c>
      <c r="I20" s="2">
        <v>1.8549999999999998</v>
      </c>
      <c r="J20" s="2">
        <v>2.6339999999999999</v>
      </c>
      <c r="K20" s="2" t="str">
        <v>2.7</v>
      </c>
      <c r="L20" s="2">
        <v>0</v>
      </c>
      <c r="M20" s="2">
        <v>1.1088888888888888</v>
      </c>
      <c r="N20" s="2">
        <v>0.71750000000000003</v>
      </c>
      <c r="O20" s="2">
        <v>1.5109999999999999</v>
      </c>
      <c r="P20" s="2">
        <v>1.02</v>
      </c>
      <c r="Q20" s="2">
        <v>1.7842857142857143</v>
      </c>
      <c r="R20" s="2">
        <v>2.8180000000000001</v>
      </c>
      <c r="S20" s="2">
        <v>0</v>
      </c>
      <c r="T20" s="2">
        <v>0.87888888888888872</v>
      </c>
      <c r="U20" s="2">
        <v>0.91100000000000014</v>
      </c>
      <c r="V20" s="2">
        <v>1.4390000000000001</v>
      </c>
      <c r="W20" s="2">
        <v>2.8549999999999995</v>
      </c>
      <c r="X20" s="2">
        <v>1.2725</v>
      </c>
      <c r="Y20" s="2">
        <v>2.3180000000000001</v>
      </c>
      <c r="Z20" s="2">
        <v>0.4425</v>
      </c>
      <c r="AA20" s="2">
        <v>0</v>
      </c>
      <c r="AB20" s="2">
        <v>2.0949999999999998</v>
      </c>
      <c r="AC20" s="2">
        <v>2.2490000000000001</v>
      </c>
      <c r="AD20" s="2">
        <v>0.6399999999999999</v>
      </c>
      <c r="AE20" s="2">
        <v>1.17</v>
      </c>
      <c r="AF20" s="2">
        <v>1.3975000000000002</v>
      </c>
      <c r="AG20" s="2">
        <v>0</v>
      </c>
      <c r="AH20" s="2">
        <v>1.6388888888888888</v>
      </c>
      <c r="AI20" s="2">
        <v>0.95888888888888901</v>
      </c>
      <c r="AJ20" s="2">
        <v>2.161</v>
      </c>
      <c r="AK20" s="2">
        <v>0.83799999999999986</v>
      </c>
      <c r="AL20" s="2">
        <v>0.40333333333333338</v>
      </c>
      <c r="AM20" s="2">
        <v>0.98888888888888893</v>
      </c>
      <c r="AN20" s="2">
        <v>2.67</v>
      </c>
      <c r="AO20" s="2">
        <v>1.6</v>
      </c>
      <c r="AP20" s="2">
        <v>1.8166666666666669</v>
      </c>
      <c r="AQ20" s="2">
        <v>1.92875</v>
      </c>
      <c r="AR20" s="2">
        <v>1.292</v>
      </c>
      <c r="AS20" s="2">
        <v>1.2790000000000001</v>
      </c>
      <c r="AT20" s="2">
        <v>0.9860000000000001</v>
      </c>
      <c r="AU20" s="2">
        <v>1.3919999999999999</v>
      </c>
      <c r="AV20" s="2">
        <v>1.0459999999999998</v>
      </c>
      <c r="AW20" s="2">
        <v>0.73</v>
      </c>
    </row>
    <row r="21" spans="1:49" x14ac:dyDescent="0.25">
      <c r="A21" s="1" t="s">
        <v>18</v>
      </c>
      <c r="B21" s="7">
        <v>1.3785714285714286</v>
      </c>
      <c r="C21" s="2">
        <v>2.4340000000000002</v>
      </c>
      <c r="D21" s="2">
        <v>1.867777777777778</v>
      </c>
      <c r="E21" s="2">
        <v>1.1833333333333333</v>
      </c>
      <c r="F21" s="2">
        <v>0</v>
      </c>
      <c r="G21" s="2">
        <v>0.69124999999999992</v>
      </c>
      <c r="H21" s="2">
        <v>2.589</v>
      </c>
      <c r="I21" s="2">
        <v>1.7789999999999999</v>
      </c>
      <c r="J21" s="2">
        <v>2.6680000000000001</v>
      </c>
      <c r="K21" s="2" t="str">
        <v>1.1</v>
      </c>
      <c r="L21" s="2">
        <v>0</v>
      </c>
      <c r="M21" s="2">
        <v>1.1733333333333331</v>
      </c>
      <c r="N21" s="2">
        <v>1.1725000000000001</v>
      </c>
      <c r="O21" s="2">
        <v>1.643</v>
      </c>
      <c r="P21" s="2">
        <v>1.19875</v>
      </c>
      <c r="Q21" s="2">
        <v>1.922857142857143</v>
      </c>
      <c r="R21" s="2">
        <v>2.8109999999999999</v>
      </c>
      <c r="S21" s="2">
        <v>0</v>
      </c>
      <c r="T21" s="2">
        <v>0.96333333333333315</v>
      </c>
      <c r="U21" s="2">
        <v>0.85099999999999976</v>
      </c>
      <c r="V21" s="2">
        <v>1.4769999999999999</v>
      </c>
      <c r="W21" s="2">
        <v>2.71</v>
      </c>
      <c r="X21" s="2">
        <v>2.15</v>
      </c>
      <c r="Y21" s="2">
        <v>2.5439999999999996</v>
      </c>
      <c r="Z21" s="2">
        <v>0.45250000000000001</v>
      </c>
      <c r="AA21" s="2">
        <v>0</v>
      </c>
      <c r="AB21" s="2">
        <v>2.3659999999999997</v>
      </c>
      <c r="AC21" s="2">
        <v>2.415</v>
      </c>
      <c r="AD21" s="2">
        <v>0.66749999999999998</v>
      </c>
      <c r="AE21" s="2">
        <v>1.1599999999999999</v>
      </c>
      <c r="AF21" s="2">
        <v>1.3774999999999999</v>
      </c>
      <c r="AG21" s="2">
        <v>0</v>
      </c>
      <c r="AH21" s="2">
        <v>1.8411111111111111</v>
      </c>
      <c r="AI21" s="2">
        <v>0.72111111111111104</v>
      </c>
      <c r="AJ21" s="2">
        <v>2.323</v>
      </c>
      <c r="AK21" s="2">
        <v>1.3239999999999998</v>
      </c>
      <c r="AL21" s="2">
        <v>0.48666666666666664</v>
      </c>
      <c r="AM21" s="2">
        <v>1.0799999999999998</v>
      </c>
      <c r="AN21" s="2">
        <v>2.4810000000000003</v>
      </c>
      <c r="AO21" s="2">
        <v>1.645</v>
      </c>
      <c r="AP21" s="2">
        <v>1.7588888888888889</v>
      </c>
      <c r="AQ21" s="2">
        <v>2.335</v>
      </c>
      <c r="AR21" s="2">
        <v>1.452</v>
      </c>
      <c r="AS21" s="2">
        <v>1.5229999999999999</v>
      </c>
      <c r="AT21" s="2">
        <v>1.504</v>
      </c>
      <c r="AU21" s="2">
        <v>1.5909999999999997</v>
      </c>
      <c r="AV21" s="2">
        <v>0.90600000000000003</v>
      </c>
      <c r="AW21" s="2">
        <v>1.51</v>
      </c>
    </row>
    <row r="22" spans="1:49" x14ac:dyDescent="0.25">
      <c r="A22" s="1" t="s">
        <v>19</v>
      </c>
      <c r="B22" s="7">
        <v>1.8888888888888888</v>
      </c>
      <c r="C22" s="2">
        <v>2.6</v>
      </c>
      <c r="D22" s="2">
        <v>2.7142857142857144</v>
      </c>
      <c r="E22" s="2">
        <v>2</v>
      </c>
      <c r="F22" s="2">
        <v>0</v>
      </c>
      <c r="G22" s="2">
        <v>0.66666666666666663</v>
      </c>
      <c r="H22" s="2">
        <v>2.2000000000000002</v>
      </c>
      <c r="I22" s="2">
        <v>1.375</v>
      </c>
      <c r="J22" s="2">
        <v>2.2857142857142856</v>
      </c>
      <c r="K22" s="2" t="str">
        <v>2</v>
      </c>
      <c r="L22" s="2">
        <v>0</v>
      </c>
      <c r="M22" s="2">
        <v>0.75</v>
      </c>
      <c r="N22" s="2">
        <v>2</v>
      </c>
      <c r="O22" s="2">
        <v>1.2857142857142858</v>
      </c>
      <c r="P22" s="2">
        <v>1</v>
      </c>
      <c r="Q22" s="2">
        <v>2.2857142857142856</v>
      </c>
      <c r="R22" s="2">
        <v>2.4</v>
      </c>
      <c r="S22" s="2">
        <v>1.2857142857142858</v>
      </c>
      <c r="T22" s="2">
        <v>1.75</v>
      </c>
      <c r="U22" s="2">
        <v>1.125</v>
      </c>
      <c r="V22" s="2">
        <v>1.5</v>
      </c>
      <c r="W22" s="2">
        <v>3.8</v>
      </c>
      <c r="X22" s="2">
        <v>1.5714285714285714</v>
      </c>
      <c r="Y22" s="2">
        <v>2.4444444444444446</v>
      </c>
      <c r="Z22" s="2">
        <v>0</v>
      </c>
      <c r="AA22" s="2">
        <v>0.75</v>
      </c>
      <c r="AB22" s="2">
        <v>2.1111111111111112</v>
      </c>
      <c r="AC22" s="2">
        <v>2.1111111111111112</v>
      </c>
      <c r="AD22" s="2">
        <v>0.66666666666666663</v>
      </c>
      <c r="AE22" s="2">
        <v>1</v>
      </c>
      <c r="AF22" s="2">
        <v>1.5</v>
      </c>
      <c r="AG22" s="2">
        <v>2</v>
      </c>
      <c r="AH22" s="2">
        <v>1.7777777777777777</v>
      </c>
      <c r="AI22" s="2">
        <v>1.4285714285714286</v>
      </c>
      <c r="AJ22" s="2">
        <v>2</v>
      </c>
      <c r="AK22" s="2">
        <v>2</v>
      </c>
      <c r="AL22" s="2">
        <v>1.8888888888888888</v>
      </c>
      <c r="AM22" s="2">
        <v>0.8571428571428571</v>
      </c>
      <c r="AN22" s="2">
        <v>2.4444444444444446</v>
      </c>
      <c r="AO22" s="2">
        <v>1.25</v>
      </c>
      <c r="AP22" s="2">
        <v>1.5555555555555556</v>
      </c>
      <c r="AQ22" s="2">
        <v>2.8333333333333335</v>
      </c>
      <c r="AR22" s="2">
        <v>1.3333333333333333</v>
      </c>
      <c r="AS22" s="2">
        <v>1.2222222222222223</v>
      </c>
      <c r="AT22" s="2">
        <v>1.3333333333333333</v>
      </c>
      <c r="AU22" s="2">
        <v>0.88888888888888884</v>
      </c>
      <c r="AV22" s="2">
        <v>1</v>
      </c>
      <c r="AW22" s="2">
        <v>1</v>
      </c>
    </row>
    <row r="23" spans="1:49" x14ac:dyDescent="0.25">
      <c r="A23" s="1" t="s">
        <v>20</v>
      </c>
      <c r="B23" s="7">
        <v>1.8</v>
      </c>
      <c r="C23" s="2">
        <v>1.6</v>
      </c>
      <c r="D23" s="2">
        <v>3</v>
      </c>
      <c r="E23" s="2">
        <v>2</v>
      </c>
      <c r="F23" s="2">
        <v>1.5714285714285714</v>
      </c>
      <c r="G23" s="2">
        <v>1.3</v>
      </c>
      <c r="H23" s="2">
        <v>1.9</v>
      </c>
      <c r="I23" s="2">
        <v>1.3</v>
      </c>
      <c r="J23" s="2">
        <v>1.3</v>
      </c>
      <c r="K23" s="2" t="str">
        <v>0</v>
      </c>
      <c r="L23" s="2">
        <v>1.4444444444444444</v>
      </c>
      <c r="M23" s="2">
        <v>1.6</v>
      </c>
      <c r="N23" s="2">
        <v>1.2857142857142858</v>
      </c>
      <c r="O23" s="2">
        <v>1.9</v>
      </c>
      <c r="P23" s="2">
        <v>1.4444444444444444</v>
      </c>
      <c r="Q23" s="2">
        <v>0.88888888888888884</v>
      </c>
      <c r="R23" s="2">
        <v>2.1</v>
      </c>
      <c r="S23" s="2">
        <v>1.6</v>
      </c>
      <c r="T23" s="2">
        <v>2.2000000000000002</v>
      </c>
      <c r="U23" s="2">
        <v>1.4</v>
      </c>
      <c r="V23" s="2">
        <v>1.1000000000000001</v>
      </c>
      <c r="W23" s="2">
        <v>2.2000000000000002</v>
      </c>
      <c r="X23" s="2">
        <v>1.5555555555555556</v>
      </c>
      <c r="Y23" s="2">
        <v>1.1000000000000001</v>
      </c>
      <c r="Z23" s="2">
        <v>2.4</v>
      </c>
      <c r="AA23" s="2">
        <v>1</v>
      </c>
      <c r="AB23" s="2">
        <v>1.9</v>
      </c>
      <c r="AC23" s="2">
        <v>1.7</v>
      </c>
      <c r="AD23" s="2">
        <v>1</v>
      </c>
      <c r="AE23" s="2">
        <v>1.5714285714285714</v>
      </c>
      <c r="AF23" s="2">
        <v>1.3333333333333333</v>
      </c>
      <c r="AG23" s="2">
        <v>1.5</v>
      </c>
      <c r="AH23" s="2">
        <v>2</v>
      </c>
      <c r="AI23" s="2">
        <v>1.7</v>
      </c>
      <c r="AJ23" s="2">
        <v>1.2</v>
      </c>
      <c r="AK23" s="2">
        <v>1.5</v>
      </c>
      <c r="AL23" s="2">
        <v>1.7</v>
      </c>
      <c r="AM23" s="2">
        <v>1.5</v>
      </c>
      <c r="AN23" s="2">
        <v>2.1</v>
      </c>
      <c r="AO23" s="2">
        <v>2.5555555555555554</v>
      </c>
      <c r="AP23" s="2">
        <v>2.4</v>
      </c>
      <c r="AQ23" s="2">
        <v>1.1111111111111112</v>
      </c>
      <c r="AR23" s="2">
        <v>1.5</v>
      </c>
      <c r="AS23" s="2">
        <v>1.2</v>
      </c>
      <c r="AT23" s="2">
        <v>1.3333333333333333</v>
      </c>
      <c r="AU23" s="2">
        <v>2</v>
      </c>
      <c r="AV23" s="2">
        <v>1.2</v>
      </c>
      <c r="AW23" s="2">
        <v>1.7777777777777777</v>
      </c>
    </row>
    <row r="24" spans="1:49" x14ac:dyDescent="0.25">
      <c r="A24" s="1" t="s">
        <v>21</v>
      </c>
      <c r="B24" s="7">
        <v>6.1111111111111107</v>
      </c>
      <c r="C24" s="2">
        <v>6.1</v>
      </c>
      <c r="D24" s="2">
        <v>9.2222222222222214</v>
      </c>
      <c r="E24" s="2">
        <v>11.333333333333334</v>
      </c>
      <c r="F24" s="2">
        <v>6</v>
      </c>
      <c r="G24" s="2">
        <v>8.875</v>
      </c>
      <c r="H24" s="2">
        <v>4.8</v>
      </c>
      <c r="I24" s="2">
        <v>7.1</v>
      </c>
      <c r="J24" s="2">
        <v>5.8</v>
      </c>
      <c r="K24" s="2" t="str">
        <v>9</v>
      </c>
      <c r="L24" s="2">
        <v>0</v>
      </c>
      <c r="M24" s="2">
        <v>8.1999999999999993</v>
      </c>
      <c r="N24" s="2">
        <v>8</v>
      </c>
      <c r="O24" s="2">
        <v>8</v>
      </c>
      <c r="P24" s="2">
        <v>10.375</v>
      </c>
      <c r="Q24" s="2">
        <v>7.2857142857142856</v>
      </c>
      <c r="R24" s="2">
        <v>7.2</v>
      </c>
      <c r="S24" s="2">
        <v>9.5</v>
      </c>
      <c r="T24" s="2">
        <v>9.2222222222222214</v>
      </c>
      <c r="U24" s="2">
        <v>8</v>
      </c>
      <c r="V24" s="2">
        <v>7.3</v>
      </c>
      <c r="W24" s="2">
        <v>6.7</v>
      </c>
      <c r="X24" s="2">
        <v>6.8888888888888893</v>
      </c>
      <c r="Y24" s="2">
        <v>7.6</v>
      </c>
      <c r="Z24" s="2">
        <v>13</v>
      </c>
      <c r="AA24" s="2">
        <v>7.5</v>
      </c>
      <c r="AB24" s="2">
        <v>6.8</v>
      </c>
      <c r="AC24" s="2">
        <v>6.1</v>
      </c>
      <c r="AD24" s="2">
        <v>6</v>
      </c>
      <c r="AE24" s="2">
        <v>11</v>
      </c>
      <c r="AF24" s="2">
        <v>11</v>
      </c>
      <c r="AG24" s="2">
        <v>8</v>
      </c>
      <c r="AH24" s="2">
        <v>7.2222222222222223</v>
      </c>
      <c r="AI24" s="2">
        <v>6.333333333333333</v>
      </c>
      <c r="AJ24" s="2">
        <v>6.7</v>
      </c>
      <c r="AK24" s="2">
        <v>9</v>
      </c>
      <c r="AL24" s="2">
        <v>6.8888888888888893</v>
      </c>
      <c r="AM24" s="2">
        <v>9.1111111111111107</v>
      </c>
      <c r="AN24" s="2">
        <v>6.4</v>
      </c>
      <c r="AO24" s="2">
        <v>7.6</v>
      </c>
      <c r="AP24" s="2">
        <v>9.1111111111111107</v>
      </c>
      <c r="AQ24" s="2">
        <v>7.375</v>
      </c>
      <c r="AR24" s="2">
        <v>10.199999999999999</v>
      </c>
      <c r="AS24" s="2">
        <v>7.3</v>
      </c>
      <c r="AT24" s="2">
        <v>6.8</v>
      </c>
      <c r="AU24" s="2">
        <v>8.6</v>
      </c>
      <c r="AV24" s="2">
        <v>7.6</v>
      </c>
      <c r="AW24" s="2">
        <v>6</v>
      </c>
    </row>
    <row r="25" spans="1:49" x14ac:dyDescent="0.25">
      <c r="A25" s="1" t="s">
        <v>22</v>
      </c>
      <c r="B25" s="7">
        <v>18.3</v>
      </c>
      <c r="C25" s="2">
        <v>19.899999999999999</v>
      </c>
      <c r="D25" s="2">
        <v>13.222222222222221</v>
      </c>
      <c r="E25" s="2">
        <v>16.600000000000001</v>
      </c>
      <c r="F25" s="2">
        <v>23.142857142857142</v>
      </c>
      <c r="G25" s="2">
        <v>17.5</v>
      </c>
      <c r="H25" s="2">
        <v>21.3</v>
      </c>
      <c r="I25" s="2">
        <v>16.600000000000001</v>
      </c>
      <c r="J25" s="2">
        <v>19.3</v>
      </c>
      <c r="K25" s="2" t="str">
        <v>29</v>
      </c>
      <c r="L25" s="2">
        <v>15</v>
      </c>
      <c r="M25" s="2">
        <v>18.7</v>
      </c>
      <c r="N25" s="2">
        <v>18.428571428571427</v>
      </c>
      <c r="O25" s="2">
        <v>22</v>
      </c>
      <c r="P25" s="2">
        <v>16.777777777777779</v>
      </c>
      <c r="Q25" s="2">
        <v>16.777777777777779</v>
      </c>
      <c r="R25" s="2">
        <v>17.7</v>
      </c>
      <c r="S25" s="2">
        <v>22.5</v>
      </c>
      <c r="T25" s="2">
        <v>20.3</v>
      </c>
      <c r="U25" s="2">
        <v>15.6</v>
      </c>
      <c r="V25" s="2">
        <v>17.3</v>
      </c>
      <c r="W25" s="2">
        <v>16.600000000000001</v>
      </c>
      <c r="X25" s="2">
        <v>16.444444444444443</v>
      </c>
      <c r="Y25" s="2">
        <v>18.100000000000001</v>
      </c>
      <c r="Z25" s="2">
        <v>14.2</v>
      </c>
      <c r="AA25" s="2">
        <v>17.7</v>
      </c>
      <c r="AB25" s="2">
        <v>14.9</v>
      </c>
      <c r="AC25" s="2">
        <v>15.1</v>
      </c>
      <c r="AD25" s="2">
        <v>17.399999999999999</v>
      </c>
      <c r="AE25" s="2">
        <v>15.428571428571429</v>
      </c>
      <c r="AF25" s="2">
        <v>14.888888888888889</v>
      </c>
      <c r="AG25" s="2">
        <v>21.4</v>
      </c>
      <c r="AH25" s="2">
        <v>20.3</v>
      </c>
      <c r="AI25" s="2">
        <v>18.8</v>
      </c>
      <c r="AJ25" s="2">
        <v>17.8</v>
      </c>
      <c r="AK25" s="2">
        <v>20.9</v>
      </c>
      <c r="AL25" s="2">
        <v>16.7</v>
      </c>
      <c r="AM25" s="2">
        <v>19</v>
      </c>
      <c r="AN25" s="2">
        <v>17.399999999999999</v>
      </c>
      <c r="AO25" s="2">
        <v>21.333333333333332</v>
      </c>
      <c r="AP25" s="2">
        <v>23</v>
      </c>
      <c r="AQ25" s="2">
        <v>16.888888888888889</v>
      </c>
      <c r="AR25" s="2">
        <v>18.899999999999999</v>
      </c>
      <c r="AS25" s="2">
        <v>18.100000000000001</v>
      </c>
      <c r="AT25" s="2">
        <v>19.666666666666668</v>
      </c>
      <c r="AU25" s="2">
        <v>17.600000000000001</v>
      </c>
      <c r="AV25" s="2">
        <v>15.5</v>
      </c>
      <c r="AW25" s="2">
        <v>17.333333333333332</v>
      </c>
    </row>
    <row r="26" spans="1:49" x14ac:dyDescent="0.25">
      <c r="A26" s="1" t="s">
        <v>23</v>
      </c>
      <c r="B26" s="7">
        <v>440.55555555555554</v>
      </c>
      <c r="C26" s="2">
        <v>577.1</v>
      </c>
      <c r="D26" s="2">
        <v>641.33333333333337</v>
      </c>
      <c r="E26" s="2">
        <v>364.66666666666669</v>
      </c>
      <c r="F26" s="2">
        <v>485</v>
      </c>
      <c r="G26" s="2">
        <v>282.25</v>
      </c>
      <c r="H26" s="2">
        <v>439.5</v>
      </c>
      <c r="I26" s="2">
        <v>459.3</v>
      </c>
      <c r="J26" s="2">
        <v>498.6</v>
      </c>
      <c r="K26" s="2" t="str">
        <v>447</v>
      </c>
      <c r="L26" s="2">
        <v>0</v>
      </c>
      <c r="M26" s="2">
        <v>266.5</v>
      </c>
      <c r="N26" s="2">
        <v>399</v>
      </c>
      <c r="O26" s="2">
        <v>441.5</v>
      </c>
      <c r="P26" s="2">
        <v>398.625</v>
      </c>
      <c r="Q26" s="2">
        <v>457</v>
      </c>
      <c r="R26" s="2">
        <v>485.6</v>
      </c>
      <c r="S26" s="2">
        <v>290.25</v>
      </c>
      <c r="T26" s="2">
        <v>354</v>
      </c>
      <c r="U26" s="2">
        <v>378.2</v>
      </c>
      <c r="V26" s="2">
        <v>395.4</v>
      </c>
      <c r="W26" s="2">
        <v>644.6</v>
      </c>
      <c r="X26" s="2">
        <v>425.22222222222223</v>
      </c>
      <c r="Y26" s="2">
        <v>517.29999999999995</v>
      </c>
      <c r="Z26" s="2">
        <v>305.75</v>
      </c>
      <c r="AA26" s="2">
        <v>256.5</v>
      </c>
      <c r="AB26" s="2">
        <v>511.4</v>
      </c>
      <c r="AC26" s="2">
        <v>598.4</v>
      </c>
      <c r="AD26" s="2">
        <v>244</v>
      </c>
      <c r="AE26" s="2">
        <v>265</v>
      </c>
      <c r="AF26" s="2">
        <v>376</v>
      </c>
      <c r="AG26" s="2">
        <v>331</v>
      </c>
      <c r="AH26" s="2">
        <v>425.44444444444446</v>
      </c>
      <c r="AI26" s="2">
        <v>401.55555555555554</v>
      </c>
      <c r="AJ26" s="2">
        <v>456</v>
      </c>
      <c r="AK26" s="2">
        <v>299.2</v>
      </c>
      <c r="AL26" s="2">
        <v>344.77777777777777</v>
      </c>
      <c r="AM26" s="2">
        <v>251.22222222222223</v>
      </c>
      <c r="AN26" s="2">
        <v>564.79999999999995</v>
      </c>
      <c r="AO26" s="2">
        <v>329.8</v>
      </c>
      <c r="AP26" s="2">
        <v>322.33333333333331</v>
      </c>
      <c r="AQ26" s="2">
        <v>457.875</v>
      </c>
      <c r="AR26" s="2">
        <v>372</v>
      </c>
      <c r="AS26" s="2">
        <v>497.9</v>
      </c>
      <c r="AT26" s="2">
        <v>350</v>
      </c>
      <c r="AU26" s="2">
        <v>416.4</v>
      </c>
      <c r="AV26" s="2">
        <v>412.3</v>
      </c>
      <c r="AW26" s="2">
        <v>263</v>
      </c>
    </row>
    <row r="27" spans="1:49" x14ac:dyDescent="0.25">
      <c r="A27" s="1" t="s">
        <v>24</v>
      </c>
      <c r="B27" s="7">
        <v>11.777777777777779</v>
      </c>
      <c r="C27" s="2">
        <v>14.1</v>
      </c>
      <c r="D27" s="2">
        <v>10.111111111111111</v>
      </c>
      <c r="E27" s="2">
        <v>8.3333333333333339</v>
      </c>
      <c r="F27" s="2">
        <v>9</v>
      </c>
      <c r="G27" s="2">
        <v>4.625</v>
      </c>
      <c r="H27" s="2">
        <v>8.9</v>
      </c>
      <c r="I27" s="2">
        <v>10.4</v>
      </c>
      <c r="J27" s="2">
        <v>15.2</v>
      </c>
      <c r="K27" s="2" t="str">
        <v>16</v>
      </c>
      <c r="L27" s="2">
        <v>0</v>
      </c>
      <c r="M27" s="2">
        <v>7.4</v>
      </c>
      <c r="N27" s="2">
        <v>6.25</v>
      </c>
      <c r="O27" s="2">
        <v>9.8000000000000007</v>
      </c>
      <c r="P27" s="2">
        <v>6.625</v>
      </c>
      <c r="Q27" s="2">
        <v>11</v>
      </c>
      <c r="R27" s="2">
        <v>16.399999999999999</v>
      </c>
      <c r="S27" s="2">
        <v>9.125</v>
      </c>
      <c r="T27" s="2">
        <v>7.5555555555555554</v>
      </c>
      <c r="U27" s="2">
        <v>6.4</v>
      </c>
      <c r="V27" s="2">
        <v>9.9</v>
      </c>
      <c r="W27" s="2">
        <v>15.5</v>
      </c>
      <c r="X27" s="2">
        <v>9.5555555555555554</v>
      </c>
      <c r="Y27" s="2">
        <v>15.1</v>
      </c>
      <c r="Z27" s="2">
        <v>4.5</v>
      </c>
      <c r="AA27" s="2">
        <v>5.875</v>
      </c>
      <c r="AB27" s="2">
        <v>12.6</v>
      </c>
      <c r="AC27" s="2">
        <v>13.3</v>
      </c>
      <c r="AD27" s="2">
        <v>6</v>
      </c>
      <c r="AE27" s="2">
        <v>7</v>
      </c>
      <c r="AF27" s="2">
        <v>10.375</v>
      </c>
      <c r="AG27" s="2">
        <v>7</v>
      </c>
      <c r="AH27" s="2">
        <v>9</v>
      </c>
      <c r="AI27" s="2">
        <v>7.333333333333333</v>
      </c>
      <c r="AJ27" s="2">
        <v>12.3</v>
      </c>
      <c r="AK27" s="2">
        <v>5.8</v>
      </c>
      <c r="AL27" s="2">
        <v>9</v>
      </c>
      <c r="AM27" s="2">
        <v>5.666666666666667</v>
      </c>
      <c r="AN27" s="2">
        <v>14.3</v>
      </c>
      <c r="AO27" s="2">
        <v>10.8</v>
      </c>
      <c r="AP27" s="2">
        <v>10.111111111111111</v>
      </c>
      <c r="AQ27" s="2">
        <v>11.125</v>
      </c>
      <c r="AR27" s="2">
        <v>7.6</v>
      </c>
      <c r="AS27" s="2">
        <v>7.5</v>
      </c>
      <c r="AT27" s="2">
        <v>7</v>
      </c>
      <c r="AU27" s="2">
        <v>10.5</v>
      </c>
      <c r="AV27" s="2">
        <v>8.3000000000000007</v>
      </c>
      <c r="AW27" s="2">
        <v>5</v>
      </c>
    </row>
    <row r="28" spans="1:49" x14ac:dyDescent="0.25">
      <c r="A28" s="1" t="s">
        <v>25</v>
      </c>
      <c r="B28" s="7">
        <v>283.88888888888891</v>
      </c>
      <c r="C28" s="2">
        <v>394.4</v>
      </c>
      <c r="D28" s="2">
        <v>392.66666666666669</v>
      </c>
      <c r="E28" s="2">
        <v>204</v>
      </c>
      <c r="F28" s="2">
        <v>344</v>
      </c>
      <c r="G28" s="2">
        <v>143.375</v>
      </c>
      <c r="H28" s="2">
        <v>333.5</v>
      </c>
      <c r="I28" s="2">
        <v>282.8</v>
      </c>
      <c r="J28" s="2">
        <v>391.7</v>
      </c>
      <c r="K28" s="2" t="str">
        <v>343</v>
      </c>
      <c r="L28" s="2">
        <v>0</v>
      </c>
      <c r="M28" s="2">
        <v>227</v>
      </c>
      <c r="N28" s="2">
        <v>221</v>
      </c>
      <c r="O28" s="2">
        <v>274.39999999999998</v>
      </c>
      <c r="P28" s="2">
        <v>224.25</v>
      </c>
      <c r="Q28" s="2">
        <v>277.42857142857144</v>
      </c>
      <c r="R28" s="2">
        <v>365.1</v>
      </c>
      <c r="S28" s="2">
        <v>205.75</v>
      </c>
      <c r="T28" s="2">
        <v>214.55555555555554</v>
      </c>
      <c r="U28" s="2">
        <v>206.3</v>
      </c>
      <c r="V28" s="2">
        <v>264.7</v>
      </c>
      <c r="W28" s="2">
        <v>460.2</v>
      </c>
      <c r="X28" s="2">
        <v>258.55555555555554</v>
      </c>
      <c r="Y28" s="2">
        <v>392.6</v>
      </c>
      <c r="Z28" s="2">
        <v>145.75</v>
      </c>
      <c r="AA28" s="2">
        <v>170.5</v>
      </c>
      <c r="AB28" s="2">
        <v>388</v>
      </c>
      <c r="AC28" s="2">
        <v>445.4</v>
      </c>
      <c r="AD28" s="2">
        <v>175.83333333333334</v>
      </c>
      <c r="AE28" s="2">
        <v>203</v>
      </c>
      <c r="AF28" s="2">
        <v>242.75</v>
      </c>
      <c r="AG28" s="2">
        <v>232</v>
      </c>
      <c r="AH28" s="2">
        <v>292.22222222222223</v>
      </c>
      <c r="AI28" s="2">
        <v>238.33333333333334</v>
      </c>
      <c r="AJ28" s="2">
        <v>304.2</v>
      </c>
      <c r="AK28" s="2">
        <v>190.8</v>
      </c>
      <c r="AL28" s="2">
        <v>235.88888888888889</v>
      </c>
      <c r="AM28" s="2">
        <v>164.33333333333334</v>
      </c>
      <c r="AN28" s="2">
        <v>426</v>
      </c>
      <c r="AO28" s="2">
        <v>242.8</v>
      </c>
      <c r="AP28" s="2">
        <v>272.33333333333331</v>
      </c>
      <c r="AQ28" s="2">
        <v>311.25</v>
      </c>
      <c r="AR28" s="2">
        <v>267.39999999999998</v>
      </c>
      <c r="AS28" s="2">
        <v>288.60000000000002</v>
      </c>
      <c r="AT28" s="2">
        <v>242</v>
      </c>
      <c r="AU28" s="2">
        <v>271.10000000000002</v>
      </c>
      <c r="AV28" s="2">
        <v>259.3</v>
      </c>
      <c r="AW28" s="2">
        <v>172</v>
      </c>
    </row>
    <row r="29" spans="1:49" x14ac:dyDescent="0.25">
      <c r="A29" s="1" t="s">
        <v>26</v>
      </c>
      <c r="B29" s="7">
        <v>238.55555555555554</v>
      </c>
      <c r="C29" s="2">
        <v>269.60000000000002</v>
      </c>
      <c r="D29" s="2">
        <v>317</v>
      </c>
      <c r="E29" s="2">
        <v>239.16666666666666</v>
      </c>
      <c r="F29" s="2">
        <v>261</v>
      </c>
      <c r="G29" s="2">
        <v>214.625</v>
      </c>
      <c r="H29" s="2">
        <v>201.8</v>
      </c>
      <c r="I29" s="2">
        <v>250.9</v>
      </c>
      <c r="J29" s="2">
        <v>197.5</v>
      </c>
      <c r="K29" s="2" t="str">
        <v>210</v>
      </c>
      <c r="L29" s="2">
        <v>0</v>
      </c>
      <c r="M29" s="2">
        <v>126.5</v>
      </c>
      <c r="N29" s="2">
        <v>267.5</v>
      </c>
      <c r="O29" s="2">
        <v>249.4</v>
      </c>
      <c r="P29" s="2">
        <v>256.875</v>
      </c>
      <c r="Q29" s="2">
        <v>253</v>
      </c>
      <c r="R29" s="2">
        <v>209.7</v>
      </c>
      <c r="S29" s="2">
        <v>176.75</v>
      </c>
      <c r="T29" s="2">
        <v>227.55555555555554</v>
      </c>
      <c r="U29" s="2">
        <v>251.3</v>
      </c>
      <c r="V29" s="2">
        <v>221.2</v>
      </c>
      <c r="W29" s="2">
        <v>261.8</v>
      </c>
      <c r="X29" s="2">
        <v>249</v>
      </c>
      <c r="Y29" s="2">
        <v>203.6</v>
      </c>
      <c r="Z29" s="2">
        <v>233.5</v>
      </c>
      <c r="AA29" s="2">
        <v>163</v>
      </c>
      <c r="AB29" s="2">
        <v>201.7</v>
      </c>
      <c r="AC29" s="2">
        <v>233</v>
      </c>
      <c r="AD29" s="2">
        <v>155.33333333333334</v>
      </c>
      <c r="AE29" s="2">
        <v>182</v>
      </c>
      <c r="AF29" s="2">
        <v>215</v>
      </c>
      <c r="AG29" s="2">
        <v>177</v>
      </c>
      <c r="AH29" s="2">
        <v>222.55555555555554</v>
      </c>
      <c r="AI29" s="2">
        <v>244.11111111111111</v>
      </c>
      <c r="AJ29" s="2">
        <v>229.6</v>
      </c>
      <c r="AK29" s="2">
        <v>196.6</v>
      </c>
      <c r="AL29" s="2">
        <v>197.11111111111111</v>
      </c>
      <c r="AM29" s="2">
        <v>177.77777777777777</v>
      </c>
      <c r="AN29" s="2">
        <v>220.8</v>
      </c>
      <c r="AO29" s="2">
        <v>179.6</v>
      </c>
      <c r="AP29" s="2">
        <v>165.77777777777777</v>
      </c>
      <c r="AQ29" s="2">
        <v>234.625</v>
      </c>
      <c r="AR29" s="2">
        <v>197.7</v>
      </c>
      <c r="AS29" s="2">
        <v>293</v>
      </c>
      <c r="AT29" s="2">
        <v>196.8</v>
      </c>
      <c r="AU29" s="2">
        <v>230.6</v>
      </c>
      <c r="AV29" s="2">
        <v>235</v>
      </c>
      <c r="AW29" s="2">
        <v>178</v>
      </c>
    </row>
    <row r="30" spans="1:49" x14ac:dyDescent="0.25">
      <c r="A30" s="1" t="s">
        <v>27</v>
      </c>
      <c r="B30" s="7">
        <v>99</v>
      </c>
      <c r="C30" s="2">
        <v>167.3</v>
      </c>
      <c r="D30" s="2">
        <v>152.33333333333334</v>
      </c>
      <c r="E30" s="2">
        <v>68.166666666666671</v>
      </c>
      <c r="F30" s="2">
        <v>120</v>
      </c>
      <c r="G30" s="2">
        <v>37.125</v>
      </c>
      <c r="H30" s="2">
        <v>120</v>
      </c>
      <c r="I30" s="2">
        <v>97.4</v>
      </c>
      <c r="J30" s="2">
        <v>182.1</v>
      </c>
      <c r="K30" s="2" t="str">
        <v>126</v>
      </c>
      <c r="L30" s="2">
        <v>0</v>
      </c>
      <c r="M30" s="2">
        <v>80</v>
      </c>
      <c r="N30" s="2">
        <v>54.75</v>
      </c>
      <c r="O30" s="2">
        <v>95.7</v>
      </c>
      <c r="P30" s="2">
        <v>71.375</v>
      </c>
      <c r="Q30" s="2">
        <v>88.285714285714292</v>
      </c>
      <c r="R30" s="2">
        <v>156.5</v>
      </c>
      <c r="S30" s="2">
        <v>66.625</v>
      </c>
      <c r="T30" s="2">
        <v>72.111111111111114</v>
      </c>
      <c r="U30" s="2">
        <v>61.8</v>
      </c>
      <c r="V30" s="2">
        <v>78.2</v>
      </c>
      <c r="W30" s="2">
        <v>193.5</v>
      </c>
      <c r="X30" s="2">
        <v>91.777777777777771</v>
      </c>
      <c r="Y30" s="2">
        <v>175.6</v>
      </c>
      <c r="Z30" s="2">
        <v>33.25</v>
      </c>
      <c r="AA30" s="2">
        <v>57.25</v>
      </c>
      <c r="AB30" s="2">
        <v>160.4</v>
      </c>
      <c r="AC30" s="2">
        <v>181</v>
      </c>
      <c r="AD30" s="2">
        <v>49.5</v>
      </c>
      <c r="AE30" s="2">
        <v>39</v>
      </c>
      <c r="AF30" s="2">
        <v>80.375</v>
      </c>
      <c r="AG30" s="2">
        <v>54</v>
      </c>
      <c r="AH30" s="2">
        <v>108.11111111111111</v>
      </c>
      <c r="AI30" s="2">
        <v>71.666666666666671</v>
      </c>
      <c r="AJ30" s="2">
        <v>121.5</v>
      </c>
      <c r="AK30" s="2">
        <v>50.8</v>
      </c>
      <c r="AL30" s="2">
        <v>80.777777777777771</v>
      </c>
      <c r="AM30" s="2">
        <v>41.444444444444443</v>
      </c>
      <c r="AN30" s="2">
        <v>192</v>
      </c>
      <c r="AO30" s="2">
        <v>88.8</v>
      </c>
      <c r="AP30" s="2">
        <v>95.444444444444443</v>
      </c>
      <c r="AQ30" s="2">
        <v>106.125</v>
      </c>
      <c r="AR30" s="2">
        <v>91.9</v>
      </c>
      <c r="AS30" s="2">
        <v>110</v>
      </c>
      <c r="AT30" s="2">
        <v>77</v>
      </c>
      <c r="AU30" s="2">
        <v>102</v>
      </c>
      <c r="AV30" s="2">
        <v>80.8</v>
      </c>
      <c r="AW30" s="2">
        <v>44</v>
      </c>
    </row>
    <row r="31" spans="1:49" x14ac:dyDescent="0.25">
      <c r="A31" s="1" t="s">
        <v>28</v>
      </c>
      <c r="B31" s="7">
        <v>77.666666666666671</v>
      </c>
      <c r="C31" s="2">
        <v>102.1</v>
      </c>
      <c r="D31" s="2">
        <v>118.33333333333333</v>
      </c>
      <c r="E31" s="2">
        <v>68.833333333333329</v>
      </c>
      <c r="F31" s="2">
        <v>71</v>
      </c>
      <c r="G31" s="2">
        <v>52.25</v>
      </c>
      <c r="H31" s="2">
        <v>80.8</v>
      </c>
      <c r="I31" s="2">
        <v>69.400000000000006</v>
      </c>
      <c r="J31" s="2">
        <v>91.6</v>
      </c>
      <c r="K31" s="2" t="str">
        <v>82</v>
      </c>
      <c r="L31" s="2">
        <v>0</v>
      </c>
      <c r="M31" s="2">
        <v>51.3</v>
      </c>
      <c r="N31" s="2">
        <v>82.5</v>
      </c>
      <c r="O31" s="2">
        <v>78.8</v>
      </c>
      <c r="P31" s="2">
        <v>86.375</v>
      </c>
      <c r="Q31" s="2">
        <v>86.571428571428569</v>
      </c>
      <c r="R31" s="2">
        <v>81.900000000000006</v>
      </c>
      <c r="S31" s="2">
        <v>59.125</v>
      </c>
      <c r="T31" s="2">
        <v>61.555555555555557</v>
      </c>
      <c r="U31" s="2">
        <v>70.7</v>
      </c>
      <c r="V31" s="2">
        <v>70.3</v>
      </c>
      <c r="W31" s="2">
        <v>128.30000000000001</v>
      </c>
      <c r="X31" s="2">
        <v>81.333333333333329</v>
      </c>
      <c r="Y31" s="2">
        <v>93.8</v>
      </c>
      <c r="Z31" s="2">
        <v>65</v>
      </c>
      <c r="AA31" s="2">
        <v>50.375</v>
      </c>
      <c r="AB31" s="2">
        <v>92.2</v>
      </c>
      <c r="AC31" s="2">
        <v>105.2</v>
      </c>
      <c r="AD31" s="2">
        <v>48.833333333333336</v>
      </c>
      <c r="AE31" s="2">
        <v>58</v>
      </c>
      <c r="AF31" s="2">
        <v>72.25</v>
      </c>
      <c r="AG31" s="2">
        <v>64</v>
      </c>
      <c r="AH31" s="2">
        <v>84.888888888888886</v>
      </c>
      <c r="AI31" s="2">
        <v>71.222222222222229</v>
      </c>
      <c r="AJ31" s="2">
        <v>84.2</v>
      </c>
      <c r="AK31" s="2">
        <v>61</v>
      </c>
      <c r="AL31" s="2">
        <v>56.444444444444443</v>
      </c>
      <c r="AM31" s="2">
        <v>48.777777777777779</v>
      </c>
      <c r="AN31" s="2">
        <v>105.9</v>
      </c>
      <c r="AO31" s="2">
        <v>58.4</v>
      </c>
      <c r="AP31" s="2">
        <v>59.111111111111114</v>
      </c>
      <c r="AQ31" s="2">
        <v>84</v>
      </c>
      <c r="AR31" s="2">
        <v>73.8</v>
      </c>
      <c r="AS31" s="2">
        <v>98.5</v>
      </c>
      <c r="AT31" s="2">
        <v>64.400000000000006</v>
      </c>
      <c r="AU31" s="2">
        <v>75.7</v>
      </c>
      <c r="AV31" s="2">
        <v>74.7</v>
      </c>
      <c r="AW31" s="2">
        <v>41</v>
      </c>
    </row>
    <row r="32" spans="1:49" x14ac:dyDescent="0.25">
      <c r="A32" s="1" t="s">
        <v>29</v>
      </c>
      <c r="B32" s="7">
        <v>15.555555555555555</v>
      </c>
      <c r="C32" s="2">
        <v>16</v>
      </c>
      <c r="D32" s="2">
        <v>10.333333333333334</v>
      </c>
      <c r="E32" s="2">
        <v>19.5</v>
      </c>
      <c r="F32" s="2">
        <v>38</v>
      </c>
      <c r="G32" s="2">
        <v>24.875</v>
      </c>
      <c r="H32" s="2">
        <v>21.6</v>
      </c>
      <c r="I32" s="2">
        <v>17.899999999999999</v>
      </c>
      <c r="J32" s="2">
        <v>14.6</v>
      </c>
      <c r="K32" s="2" t="str">
        <v>13</v>
      </c>
      <c r="L32" s="2">
        <v>0</v>
      </c>
      <c r="M32" s="2">
        <v>16.5</v>
      </c>
      <c r="N32" s="2">
        <v>27</v>
      </c>
      <c r="O32" s="2">
        <v>16.5</v>
      </c>
      <c r="P32" s="2">
        <v>16.625</v>
      </c>
      <c r="Q32" s="2">
        <v>18</v>
      </c>
      <c r="R32" s="2">
        <v>19.5</v>
      </c>
      <c r="S32" s="2">
        <v>21.625</v>
      </c>
      <c r="T32" s="2">
        <v>33.777777777777779</v>
      </c>
      <c r="U32" s="2">
        <v>18.399999999999999</v>
      </c>
      <c r="V32" s="2">
        <v>23.8</v>
      </c>
      <c r="W32" s="2">
        <v>13.7</v>
      </c>
      <c r="X32" s="2">
        <v>20.444444444444443</v>
      </c>
      <c r="Y32" s="2">
        <v>14.2</v>
      </c>
      <c r="Z32" s="2">
        <v>21.25</v>
      </c>
      <c r="AA32" s="2">
        <v>18.75</v>
      </c>
      <c r="AB32" s="2">
        <v>14.5</v>
      </c>
      <c r="AC32" s="2">
        <v>10.8</v>
      </c>
      <c r="AD32" s="2">
        <v>29.333333333333332</v>
      </c>
      <c r="AE32" s="2">
        <v>31</v>
      </c>
      <c r="AF32" s="2">
        <v>17.5</v>
      </c>
      <c r="AG32" s="2">
        <v>27</v>
      </c>
      <c r="AH32" s="2">
        <v>20.333333333333332</v>
      </c>
      <c r="AI32" s="2">
        <v>13.777777777777779</v>
      </c>
      <c r="AJ32" s="2">
        <v>15.3</v>
      </c>
      <c r="AK32" s="2">
        <v>22.2</v>
      </c>
      <c r="AL32" s="2">
        <v>20.888888888888889</v>
      </c>
      <c r="AM32" s="2">
        <v>24.888888888888889</v>
      </c>
      <c r="AN32" s="2">
        <v>12.7</v>
      </c>
      <c r="AO32" s="2">
        <v>27</v>
      </c>
      <c r="AP32" s="2">
        <v>27.222222222222221</v>
      </c>
      <c r="AQ32" s="2">
        <v>20.25</v>
      </c>
      <c r="AR32" s="2">
        <v>22.4</v>
      </c>
      <c r="AS32" s="2">
        <v>16.2</v>
      </c>
      <c r="AT32" s="2">
        <v>20.8</v>
      </c>
      <c r="AU32" s="2">
        <v>20.8</v>
      </c>
      <c r="AV32" s="2">
        <v>15.8</v>
      </c>
      <c r="AW32" s="2">
        <v>26</v>
      </c>
    </row>
    <row r="33" spans="1:49" x14ac:dyDescent="0.25">
      <c r="A33" s="1" t="s">
        <v>30</v>
      </c>
      <c r="B33" s="7">
        <v>0.63600000000000001</v>
      </c>
      <c r="C33" s="2">
        <v>0.67299999999999993</v>
      </c>
      <c r="D33" s="2">
        <v>0.6744444444444444</v>
      </c>
      <c r="E33" s="2">
        <v>0.60799999999999998</v>
      </c>
      <c r="F33" s="2">
        <v>0.61428571428571443</v>
      </c>
      <c r="G33" s="2">
        <v>0.39899999999999997</v>
      </c>
      <c r="H33" s="2">
        <v>0.62899999999999989</v>
      </c>
      <c r="I33" s="2">
        <v>0.58100000000000007</v>
      </c>
      <c r="J33" s="2">
        <v>0.64500000000000002</v>
      </c>
      <c r="K33" s="2" t="str">
        <v>67%</v>
      </c>
      <c r="L33" s="2">
        <v>0.55875000000000008</v>
      </c>
      <c r="M33" s="2">
        <v>0.45500000000000007</v>
      </c>
      <c r="N33" s="2">
        <v>0.57374999999999998</v>
      </c>
      <c r="O33" s="2">
        <v>0.56800000000000006</v>
      </c>
      <c r="P33" s="2">
        <v>0.51</v>
      </c>
      <c r="Q33" s="2">
        <v>0.57888888888888901</v>
      </c>
      <c r="R33" s="2">
        <v>0.65700000000000003</v>
      </c>
      <c r="S33" s="2">
        <v>0.53599999999999992</v>
      </c>
      <c r="T33" s="2">
        <v>0.46100000000000013</v>
      </c>
      <c r="U33" s="2">
        <v>0.52600000000000002</v>
      </c>
      <c r="V33" s="2">
        <v>0.49500000000000011</v>
      </c>
      <c r="W33" s="2">
        <v>0.65900000000000003</v>
      </c>
      <c r="X33" s="2">
        <v>0.52555555555555555</v>
      </c>
      <c r="Y33" s="2">
        <v>0.621</v>
      </c>
      <c r="Z33" s="2">
        <v>0.51600000000000001</v>
      </c>
      <c r="AA33" s="2">
        <v>0.48299999999999998</v>
      </c>
      <c r="AB33" s="2">
        <v>0.61</v>
      </c>
      <c r="AC33" s="2">
        <v>0.69699999999999995</v>
      </c>
      <c r="AD33" s="2">
        <v>0.45200000000000007</v>
      </c>
      <c r="AE33" s="2">
        <v>0.505</v>
      </c>
      <c r="AF33" s="2">
        <v>0.4555555555555556</v>
      </c>
      <c r="AG33" s="2">
        <v>0.41900000000000004</v>
      </c>
      <c r="AH33" s="2">
        <v>0.57499999999999996</v>
      </c>
      <c r="AI33" s="2">
        <v>0.55599999999999994</v>
      </c>
      <c r="AJ33" s="2">
        <v>0.55300000000000005</v>
      </c>
      <c r="AK33" s="2">
        <v>0.44000000000000011</v>
      </c>
      <c r="AL33" s="2">
        <v>0.52333333333333343</v>
      </c>
      <c r="AM33" s="2">
        <v>0.38699999999999996</v>
      </c>
      <c r="AN33" s="2">
        <v>0.6409999999999999</v>
      </c>
      <c r="AO33" s="2">
        <v>0.54555555555555546</v>
      </c>
      <c r="AP33" s="2">
        <v>0.505</v>
      </c>
      <c r="AQ33" s="2">
        <v>0.61111111111111105</v>
      </c>
      <c r="AR33" s="2">
        <v>0.499</v>
      </c>
      <c r="AS33" s="2">
        <v>0.57300000000000006</v>
      </c>
      <c r="AT33" s="2">
        <v>0.53666666666666663</v>
      </c>
      <c r="AU33" s="2">
        <v>0.53700000000000003</v>
      </c>
      <c r="AV33" s="2">
        <v>0.55999999999999994</v>
      </c>
      <c r="AW33" s="2">
        <v>0.51444444444444448</v>
      </c>
    </row>
    <row r="34" spans="1:49" x14ac:dyDescent="0.25">
      <c r="A34" s="1" t="s">
        <v>31</v>
      </c>
      <c r="B34" s="7">
        <v>107.77777777777777</v>
      </c>
      <c r="C34" s="2">
        <v>115.2</v>
      </c>
      <c r="D34" s="2">
        <v>96.444444444444443</v>
      </c>
      <c r="E34" s="2">
        <v>109.33333333333333</v>
      </c>
      <c r="F34" s="2">
        <v>189</v>
      </c>
      <c r="G34" s="2">
        <v>110.75</v>
      </c>
      <c r="H34" s="2">
        <v>129.69999999999999</v>
      </c>
      <c r="I34" s="2">
        <v>102.9</v>
      </c>
      <c r="J34" s="2">
        <v>120</v>
      </c>
      <c r="K34" s="2" t="str">
        <v>130</v>
      </c>
      <c r="L34" s="2">
        <v>0</v>
      </c>
      <c r="M34" s="2">
        <v>118.6</v>
      </c>
      <c r="N34" s="2">
        <v>111.5</v>
      </c>
      <c r="O34" s="2">
        <v>114.3</v>
      </c>
      <c r="P34" s="2">
        <v>106</v>
      </c>
      <c r="Q34" s="2">
        <v>101.71428571428571</v>
      </c>
      <c r="R34" s="2">
        <v>113.9</v>
      </c>
      <c r="S34" s="2">
        <v>131.5</v>
      </c>
      <c r="T34" s="2">
        <v>127</v>
      </c>
      <c r="U34" s="2">
        <v>113.3</v>
      </c>
      <c r="V34" s="2">
        <v>116</v>
      </c>
      <c r="W34" s="2">
        <v>102.8</v>
      </c>
      <c r="X34" s="2">
        <v>116.11111111111111</v>
      </c>
      <c r="Y34" s="2">
        <v>113.1</v>
      </c>
      <c r="Z34" s="2">
        <v>104.25</v>
      </c>
      <c r="AA34" s="2">
        <v>108.125</v>
      </c>
      <c r="AB34" s="2">
        <v>105.7</v>
      </c>
      <c r="AC34" s="2">
        <v>103.6</v>
      </c>
      <c r="AD34" s="2">
        <v>123</v>
      </c>
      <c r="AE34" s="2">
        <v>140</v>
      </c>
      <c r="AF34" s="2">
        <v>109.125</v>
      </c>
      <c r="AG34" s="2">
        <v>114</v>
      </c>
      <c r="AH34" s="2">
        <v>122.77777777777777</v>
      </c>
      <c r="AI34" s="2">
        <v>107.33333333333333</v>
      </c>
      <c r="AJ34" s="2">
        <v>105.5</v>
      </c>
      <c r="AK34" s="2">
        <v>125.2</v>
      </c>
      <c r="AL34" s="2">
        <v>119.88888888888889</v>
      </c>
      <c r="AM34" s="2">
        <v>124</v>
      </c>
      <c r="AN34" s="2">
        <v>105.4</v>
      </c>
      <c r="AO34" s="2">
        <v>131.4</v>
      </c>
      <c r="AP34" s="2">
        <v>146.44444444444446</v>
      </c>
      <c r="AQ34" s="2">
        <v>121.5</v>
      </c>
      <c r="AR34" s="2">
        <v>127.5</v>
      </c>
      <c r="AS34" s="2">
        <v>116.2</v>
      </c>
      <c r="AT34" s="2">
        <v>128.80000000000001</v>
      </c>
      <c r="AU34" s="2">
        <v>118.6</v>
      </c>
      <c r="AV34" s="2">
        <v>112.2</v>
      </c>
      <c r="AW34" s="2">
        <v>122</v>
      </c>
    </row>
    <row r="35" spans="1:49" x14ac:dyDescent="0.25">
      <c r="A35" s="1" t="s">
        <v>32</v>
      </c>
      <c r="B35" s="7">
        <v>3.1111111111111112</v>
      </c>
      <c r="C35" s="2">
        <v>4.9000000000000004</v>
      </c>
      <c r="D35" s="2">
        <v>4.333333333333333</v>
      </c>
      <c r="E35" s="2">
        <v>3.5</v>
      </c>
      <c r="F35" s="2">
        <v>3</v>
      </c>
      <c r="G35" s="2">
        <v>1.75</v>
      </c>
      <c r="H35" s="2">
        <v>6.6</v>
      </c>
      <c r="I35" s="2">
        <v>4.5999999999999996</v>
      </c>
      <c r="J35" s="2">
        <v>6</v>
      </c>
      <c r="K35" s="2" t="str">
        <v>4</v>
      </c>
      <c r="L35" s="2">
        <v>0</v>
      </c>
      <c r="M35" s="2">
        <v>4.2</v>
      </c>
      <c r="N35" s="2">
        <v>3</v>
      </c>
      <c r="O35" s="2">
        <v>4</v>
      </c>
      <c r="P35" s="2">
        <v>4.5</v>
      </c>
      <c r="Q35" s="2">
        <v>3</v>
      </c>
      <c r="R35" s="2">
        <v>4.7</v>
      </c>
      <c r="S35" s="2">
        <v>3.5</v>
      </c>
      <c r="T35" s="2">
        <v>1.5555555555555556</v>
      </c>
      <c r="U35" s="2">
        <v>3</v>
      </c>
      <c r="V35" s="2">
        <v>4.4000000000000004</v>
      </c>
      <c r="W35" s="2">
        <v>7.6</v>
      </c>
      <c r="X35" s="2">
        <v>5.8888888888888893</v>
      </c>
      <c r="Y35" s="2">
        <v>4.5999999999999996</v>
      </c>
      <c r="Z35" s="2">
        <v>1.25</v>
      </c>
      <c r="AA35" s="2">
        <v>3.125</v>
      </c>
      <c r="AB35" s="2">
        <v>6</v>
      </c>
      <c r="AC35" s="2">
        <v>5.9</v>
      </c>
      <c r="AD35" s="2">
        <v>1</v>
      </c>
      <c r="AE35" s="2">
        <v>3</v>
      </c>
      <c r="AF35" s="2">
        <v>5.25</v>
      </c>
      <c r="AG35" s="2">
        <v>1</v>
      </c>
      <c r="AH35" s="2">
        <v>3.5555555555555554</v>
      </c>
      <c r="AI35" s="2">
        <v>4.666666666666667</v>
      </c>
      <c r="AJ35" s="2">
        <v>4.5999999999999996</v>
      </c>
      <c r="AK35" s="2">
        <v>5</v>
      </c>
      <c r="AL35" s="2">
        <v>3.3333333333333335</v>
      </c>
      <c r="AM35" s="2">
        <v>3.6666666666666665</v>
      </c>
      <c r="AN35" s="2">
        <v>4.5</v>
      </c>
      <c r="AO35" s="2">
        <v>4</v>
      </c>
      <c r="AP35" s="2">
        <v>5.1111111111111107</v>
      </c>
      <c r="AQ35" s="2">
        <v>5</v>
      </c>
      <c r="AR35" s="2">
        <v>3.2</v>
      </c>
      <c r="AS35" s="2">
        <v>4.5</v>
      </c>
      <c r="AT35" s="2">
        <v>3.6</v>
      </c>
      <c r="AU35" s="2">
        <v>4.2</v>
      </c>
      <c r="AV35" s="2">
        <v>4.3</v>
      </c>
      <c r="AW35" s="2">
        <v>2</v>
      </c>
    </row>
    <row r="36" spans="1:49" x14ac:dyDescent="0.25">
      <c r="A36" s="1" t="s">
        <v>33</v>
      </c>
      <c r="B36" s="7">
        <v>6.3</v>
      </c>
      <c r="C36" s="2">
        <v>4.0999999999999996</v>
      </c>
      <c r="D36" s="2">
        <v>4.7777777777777777</v>
      </c>
      <c r="E36" s="2">
        <v>5.9</v>
      </c>
      <c r="F36" s="2">
        <v>5.5714285714285712</v>
      </c>
      <c r="G36" s="2">
        <v>7.1</v>
      </c>
      <c r="H36" s="2">
        <v>5.8</v>
      </c>
      <c r="I36" s="2">
        <v>5.3</v>
      </c>
      <c r="J36" s="2">
        <v>4.5</v>
      </c>
      <c r="K36" s="2" t="str">
        <v>5</v>
      </c>
      <c r="L36" s="2">
        <v>6</v>
      </c>
      <c r="M36" s="2">
        <v>4.8</v>
      </c>
      <c r="N36" s="2">
        <v>5.7142857142857144</v>
      </c>
      <c r="O36" s="2">
        <v>5.6</v>
      </c>
      <c r="P36" s="2">
        <v>4.5555555555555554</v>
      </c>
      <c r="Q36" s="2">
        <v>6.4444444444444446</v>
      </c>
      <c r="R36" s="2">
        <v>4.8</v>
      </c>
      <c r="S36" s="2">
        <v>9.5</v>
      </c>
      <c r="T36" s="2">
        <v>7.3</v>
      </c>
      <c r="U36" s="2">
        <v>6.7</v>
      </c>
      <c r="V36" s="2">
        <v>6.5</v>
      </c>
      <c r="W36" s="2">
        <v>3.7</v>
      </c>
      <c r="X36" s="2">
        <v>5.8888888888888893</v>
      </c>
      <c r="Y36" s="2">
        <v>5.3</v>
      </c>
      <c r="Z36" s="2">
        <v>7.1</v>
      </c>
      <c r="AA36" s="2">
        <v>6.2</v>
      </c>
      <c r="AB36" s="2">
        <v>4.7</v>
      </c>
      <c r="AC36" s="2">
        <v>3.4</v>
      </c>
      <c r="AD36" s="2">
        <v>8.1</v>
      </c>
      <c r="AE36" s="2">
        <v>7.1428571428571432</v>
      </c>
      <c r="AF36" s="2">
        <v>6.333333333333333</v>
      </c>
      <c r="AG36" s="2">
        <v>8</v>
      </c>
      <c r="AH36" s="2">
        <v>5.3</v>
      </c>
      <c r="AI36" s="2">
        <v>5.9</v>
      </c>
      <c r="AJ36" s="2">
        <v>4</v>
      </c>
      <c r="AK36" s="2">
        <v>7</v>
      </c>
      <c r="AL36" s="2">
        <v>7.9</v>
      </c>
      <c r="AM36" s="2">
        <v>6.4</v>
      </c>
      <c r="AN36" s="2">
        <v>5.4</v>
      </c>
      <c r="AO36" s="2">
        <v>9.2222222222222214</v>
      </c>
      <c r="AP36" s="2">
        <v>5.2</v>
      </c>
      <c r="AQ36" s="2">
        <v>5.7777777777777777</v>
      </c>
      <c r="AR36" s="2">
        <v>6.7</v>
      </c>
      <c r="AS36" s="2">
        <v>6.3</v>
      </c>
      <c r="AT36" s="2">
        <v>7</v>
      </c>
      <c r="AU36" s="2">
        <v>6.7</v>
      </c>
      <c r="AV36" s="2">
        <v>6.5</v>
      </c>
      <c r="AW36" s="2">
        <v>7.4444444444444446</v>
      </c>
    </row>
    <row r="37" spans="1:49" x14ac:dyDescent="0.25">
      <c r="A37" s="1" t="s">
        <v>34</v>
      </c>
      <c r="B37" s="7">
        <v>14.444444444444445</v>
      </c>
      <c r="C37" s="2">
        <v>17.7</v>
      </c>
      <c r="D37" s="2">
        <v>12.555555555555555</v>
      </c>
      <c r="E37" s="2">
        <v>11.9</v>
      </c>
      <c r="F37" s="2">
        <v>10.142857142857142</v>
      </c>
      <c r="G37" s="2">
        <v>7.2</v>
      </c>
      <c r="H37" s="2">
        <v>12.3</v>
      </c>
      <c r="I37" s="2">
        <v>13.4</v>
      </c>
      <c r="J37" s="2">
        <v>20.399999999999999</v>
      </c>
      <c r="K37" s="2" t="str">
        <v>21</v>
      </c>
      <c r="L37" s="2">
        <v>12</v>
      </c>
      <c r="M37" s="2">
        <v>10.9</v>
      </c>
      <c r="N37" s="2">
        <v>10.142857142857142</v>
      </c>
      <c r="O37" s="2">
        <v>12.9</v>
      </c>
      <c r="P37" s="2">
        <v>8.375</v>
      </c>
      <c r="Q37" s="2">
        <v>13.777777777777779</v>
      </c>
      <c r="R37" s="2">
        <v>20.5</v>
      </c>
      <c r="S37" s="2">
        <v>11.7</v>
      </c>
      <c r="T37" s="2">
        <v>9.4</v>
      </c>
      <c r="U37" s="2">
        <v>9.3000000000000007</v>
      </c>
      <c r="V37" s="2">
        <v>12.3</v>
      </c>
      <c r="W37" s="2">
        <v>20.8</v>
      </c>
      <c r="X37" s="2">
        <v>11.666666666666666</v>
      </c>
      <c r="Y37" s="2">
        <v>19.100000000000001</v>
      </c>
      <c r="Z37" s="2">
        <v>6.5</v>
      </c>
      <c r="AA37" s="2">
        <v>9.9</v>
      </c>
      <c r="AB37" s="2">
        <v>15.5</v>
      </c>
      <c r="AC37" s="2">
        <v>16.899999999999999</v>
      </c>
      <c r="AD37" s="2">
        <v>9.4</v>
      </c>
      <c r="AE37" s="2">
        <v>6.75</v>
      </c>
      <c r="AF37" s="2">
        <v>11.625</v>
      </c>
      <c r="AG37" s="2">
        <v>10.5</v>
      </c>
      <c r="AH37" s="2">
        <v>14.1</v>
      </c>
      <c r="AI37" s="2">
        <v>11.2</v>
      </c>
      <c r="AJ37" s="2">
        <v>15.5</v>
      </c>
      <c r="AK37" s="2">
        <v>9.8571428571428577</v>
      </c>
      <c r="AL37" s="2">
        <v>12.666666666666666</v>
      </c>
      <c r="AM37" s="2">
        <v>9</v>
      </c>
      <c r="AN37" s="2">
        <v>19.5</v>
      </c>
      <c r="AO37" s="2">
        <v>12.142857142857142</v>
      </c>
      <c r="AP37" s="2">
        <v>14.5</v>
      </c>
      <c r="AQ37" s="2">
        <v>15.111111111111111</v>
      </c>
      <c r="AR37" s="2">
        <v>10</v>
      </c>
      <c r="AS37" s="2">
        <v>10.4</v>
      </c>
      <c r="AT37" s="2">
        <v>11.111111111111111</v>
      </c>
      <c r="AU37" s="2">
        <v>13.3</v>
      </c>
      <c r="AV37" s="2">
        <v>10.9</v>
      </c>
      <c r="AW37" s="2">
        <v>11.333333333333334</v>
      </c>
    </row>
    <row r="38" spans="1:49" x14ac:dyDescent="0.25">
      <c r="A38" s="1" t="s">
        <v>35</v>
      </c>
      <c r="B38" s="7">
        <v>0.33333333333333331</v>
      </c>
      <c r="C38" s="2">
        <v>0.7</v>
      </c>
      <c r="D38" s="2">
        <v>0.33333333333333331</v>
      </c>
      <c r="E38" s="2">
        <v>0.22222222222222221</v>
      </c>
      <c r="F38" s="2">
        <v>0.5714285714285714</v>
      </c>
      <c r="G38" s="2">
        <v>0.44444444444444442</v>
      </c>
      <c r="H38" s="2">
        <v>0.6</v>
      </c>
      <c r="I38" s="2">
        <v>0.4</v>
      </c>
      <c r="J38" s="2">
        <v>0.4</v>
      </c>
      <c r="K38" s="2" t="str">
        <v>0</v>
      </c>
      <c r="L38" s="2">
        <v>0.33333333333333331</v>
      </c>
      <c r="M38" s="2">
        <v>0.33333333333333331</v>
      </c>
      <c r="N38" s="2">
        <v>0.2857142857142857</v>
      </c>
      <c r="O38" s="2">
        <v>0.4</v>
      </c>
      <c r="P38" s="2">
        <v>0.55555555555555558</v>
      </c>
      <c r="Q38" s="2">
        <v>0.44444444444444442</v>
      </c>
      <c r="R38" s="2">
        <v>0.7</v>
      </c>
      <c r="S38" s="2">
        <v>0.2</v>
      </c>
      <c r="T38" s="2">
        <v>0.2</v>
      </c>
      <c r="U38" s="2">
        <v>0.1</v>
      </c>
      <c r="V38" s="2">
        <v>0.4</v>
      </c>
      <c r="W38" s="2">
        <v>0.6</v>
      </c>
      <c r="X38" s="2">
        <v>0.33333333333333331</v>
      </c>
      <c r="Y38" s="2">
        <v>0.7</v>
      </c>
      <c r="Z38" s="2">
        <v>0.4</v>
      </c>
      <c r="AA38" s="2">
        <v>0</v>
      </c>
      <c r="AB38" s="2">
        <v>0.6</v>
      </c>
      <c r="AC38" s="2">
        <v>0.4</v>
      </c>
      <c r="AD38" s="2">
        <v>0.22222222222222221</v>
      </c>
      <c r="AE38" s="2">
        <v>0.5</v>
      </c>
      <c r="AF38" s="2">
        <v>0.55555555555555558</v>
      </c>
      <c r="AG38" s="2">
        <v>0.1111111111111111</v>
      </c>
      <c r="AH38" s="2">
        <v>0.4</v>
      </c>
      <c r="AI38" s="2">
        <v>0.2</v>
      </c>
      <c r="AJ38" s="2">
        <v>0.6</v>
      </c>
      <c r="AK38" s="2">
        <v>0.125</v>
      </c>
      <c r="AL38" s="2">
        <v>0.55555555555555558</v>
      </c>
      <c r="AM38" s="2">
        <v>0.3</v>
      </c>
      <c r="AN38" s="2">
        <v>0.8</v>
      </c>
      <c r="AO38" s="2">
        <v>0.2</v>
      </c>
      <c r="AP38" s="2">
        <v>0.44444444444444442</v>
      </c>
      <c r="AQ38" s="2">
        <v>0.125</v>
      </c>
      <c r="AR38" s="2">
        <v>0.4</v>
      </c>
      <c r="AS38" s="2">
        <v>0.2</v>
      </c>
      <c r="AT38" s="2">
        <v>0.1111111111111111</v>
      </c>
      <c r="AU38" s="2">
        <v>0.33333333333333331</v>
      </c>
      <c r="AV38" s="2">
        <v>0.2</v>
      </c>
      <c r="AW38" s="2">
        <v>0</v>
      </c>
    </row>
    <row r="39" spans="1:49" x14ac:dyDescent="0.25">
      <c r="A39" s="1" t="s">
        <v>36</v>
      </c>
      <c r="B39" s="7">
        <v>0.88142857142857145</v>
      </c>
      <c r="C39" s="2">
        <v>0.92099999999999993</v>
      </c>
      <c r="D39" s="2">
        <v>0.70333333333333348</v>
      </c>
      <c r="E39" s="2">
        <v>1.0533333333333332</v>
      </c>
      <c r="F39" s="2">
        <v>0</v>
      </c>
      <c r="G39" s="2">
        <v>1.34</v>
      </c>
      <c r="H39" s="2">
        <v>0.77400000000000002</v>
      </c>
      <c r="I39" s="2">
        <v>0.88100000000000023</v>
      </c>
      <c r="J39" s="2">
        <v>0.73799999999999999</v>
      </c>
      <c r="K39" s="2" t="str">
        <v>0.18</v>
      </c>
      <c r="L39" s="2">
        <v>0</v>
      </c>
      <c r="M39" s="2">
        <v>0.5955555555555555</v>
      </c>
      <c r="N39" s="2">
        <v>1.05</v>
      </c>
      <c r="O39" s="2">
        <v>0.71600000000000008</v>
      </c>
      <c r="P39" s="2">
        <v>1.4837500000000001</v>
      </c>
      <c r="Q39" s="2">
        <v>0.68857142857142861</v>
      </c>
      <c r="R39" s="2">
        <v>0.85400000000000009</v>
      </c>
      <c r="S39" s="2">
        <v>0</v>
      </c>
      <c r="T39" s="2">
        <v>0.85444444444444434</v>
      </c>
      <c r="U39" s="2">
        <v>0.83200000000000007</v>
      </c>
      <c r="V39" s="2">
        <v>1.2910000000000001</v>
      </c>
      <c r="W39" s="2">
        <v>0.65299999999999991</v>
      </c>
      <c r="X39" s="2">
        <v>0.92875000000000008</v>
      </c>
      <c r="Y39" s="2">
        <v>1.2</v>
      </c>
      <c r="Z39" s="2">
        <v>1.9224999999999999</v>
      </c>
      <c r="AA39" s="2">
        <v>0</v>
      </c>
      <c r="AB39" s="2">
        <v>0.69300000000000006</v>
      </c>
      <c r="AC39" s="2">
        <v>0.60399999999999998</v>
      </c>
      <c r="AD39" s="2">
        <v>0.93500000000000005</v>
      </c>
      <c r="AE39" s="2">
        <v>1.29</v>
      </c>
      <c r="AF39" s="2">
        <v>0.82624999999999993</v>
      </c>
      <c r="AG39" s="2">
        <v>0</v>
      </c>
      <c r="AH39" s="2">
        <v>0.65222222222222226</v>
      </c>
      <c r="AI39" s="2">
        <v>0.79222222222222227</v>
      </c>
      <c r="AJ39" s="2">
        <v>0.72300000000000009</v>
      </c>
      <c r="AK39" s="2">
        <v>1.3679999999999999</v>
      </c>
      <c r="AL39" s="2">
        <v>1.0933333333333335</v>
      </c>
      <c r="AM39" s="2">
        <v>1.2000000000000002</v>
      </c>
      <c r="AN39" s="2">
        <v>0.95</v>
      </c>
      <c r="AO39" s="2">
        <v>0.86749999999999994</v>
      </c>
      <c r="AP39" s="2">
        <v>1.0699999999999998</v>
      </c>
      <c r="AQ39" s="2">
        <v>0.77750000000000008</v>
      </c>
      <c r="AR39" s="2">
        <v>1.7579999999999998</v>
      </c>
      <c r="AS39" s="2">
        <v>0.74</v>
      </c>
      <c r="AT39" s="2">
        <v>0.92999999999999994</v>
      </c>
      <c r="AU39" s="2">
        <v>1.1440000000000001</v>
      </c>
      <c r="AV39" s="2">
        <v>0.75700000000000001</v>
      </c>
      <c r="AW39" s="2">
        <v>1.95</v>
      </c>
    </row>
    <row r="40" spans="1:49" x14ac:dyDescent="0.25">
      <c r="A40" s="8"/>
      <c r="J40" s="5"/>
      <c r="K40" s="5"/>
      <c r="L40" s="5"/>
      <c r="M40" s="5"/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53688-9E18-4C76-A9D2-469B7C357D56}">
  <dimension ref="A1:AL38"/>
  <sheetViews>
    <sheetView tabSelected="1" topLeftCell="A9" workbookViewId="0">
      <selection activeCell="H36" sqref="H36"/>
    </sheetView>
  </sheetViews>
  <sheetFormatPr defaultColWidth="19.85546875" defaultRowHeight="15" x14ac:dyDescent="0.25"/>
  <cols>
    <col min="1" max="1" width="32.28515625" bestFit="1" customWidth="1"/>
    <col min="2" max="2" width="19.85546875" customWidth="1"/>
  </cols>
  <sheetData>
    <row r="1" spans="1:38" s="11" customFormat="1" ht="30" x14ac:dyDescent="0.25">
      <c r="A1" s="10"/>
      <c r="B1" s="10" t="s">
        <v>100</v>
      </c>
      <c r="C1" s="10" t="s">
        <v>93</v>
      </c>
      <c r="D1" s="10" t="s">
        <v>101</v>
      </c>
      <c r="E1" s="10" t="s">
        <v>102</v>
      </c>
      <c r="F1" s="10" t="s">
        <v>103</v>
      </c>
      <c r="G1" s="10" t="s">
        <v>104</v>
      </c>
      <c r="H1" s="10" t="s">
        <v>105</v>
      </c>
      <c r="I1" s="10" t="s">
        <v>106</v>
      </c>
      <c r="J1" s="10" t="s">
        <v>107</v>
      </c>
      <c r="K1" s="10" t="s">
        <v>108</v>
      </c>
      <c r="L1" s="10" t="s">
        <v>109</v>
      </c>
      <c r="M1" s="10" t="s">
        <v>94</v>
      </c>
      <c r="N1" s="10" t="s">
        <v>110</v>
      </c>
      <c r="O1" s="10" t="s">
        <v>95</v>
      </c>
      <c r="P1" s="10" t="s">
        <v>96</v>
      </c>
      <c r="Q1" s="10" t="s">
        <v>111</v>
      </c>
      <c r="R1" s="10" t="s">
        <v>112</v>
      </c>
      <c r="S1" s="10" t="s">
        <v>113</v>
      </c>
      <c r="T1" s="10" t="s">
        <v>114</v>
      </c>
      <c r="U1" s="10" t="s">
        <v>115</v>
      </c>
      <c r="V1" s="10" t="s">
        <v>97</v>
      </c>
      <c r="W1" s="10" t="s">
        <v>98</v>
      </c>
      <c r="X1" s="10" t="s">
        <v>116</v>
      </c>
      <c r="Y1" s="10" t="s">
        <v>117</v>
      </c>
      <c r="Z1" s="10" t="s">
        <v>118</v>
      </c>
      <c r="AA1" s="10" t="s">
        <v>119</v>
      </c>
      <c r="AB1" s="10" t="s">
        <v>120</v>
      </c>
      <c r="AC1" s="10" t="s">
        <v>121</v>
      </c>
      <c r="AD1" s="10" t="s">
        <v>122</v>
      </c>
      <c r="AE1" s="10" t="s">
        <v>123</v>
      </c>
      <c r="AF1" s="10" t="s">
        <v>124</v>
      </c>
      <c r="AG1" s="10" t="s">
        <v>125</v>
      </c>
      <c r="AH1" s="10" t="s">
        <v>126</v>
      </c>
      <c r="AI1" s="10" t="s">
        <v>127</v>
      </c>
      <c r="AJ1" s="10" t="s">
        <v>128</v>
      </c>
      <c r="AK1" s="10" t="s">
        <v>99</v>
      </c>
      <c r="AL1" s="10" t="s">
        <v>129</v>
      </c>
    </row>
    <row r="2" spans="1:38" x14ac:dyDescent="0.25">
      <c r="A2" s="9" t="s">
        <v>100</v>
      </c>
      <c r="B2" s="9">
        <v>1</v>
      </c>
      <c r="C2" s="9">
        <v>0.5</v>
      </c>
      <c r="D2" s="9">
        <v>-0.23</v>
      </c>
      <c r="E2" s="9">
        <v>-0.22</v>
      </c>
      <c r="F2" s="9">
        <v>0.77</v>
      </c>
      <c r="G2" s="9">
        <v>0.64</v>
      </c>
      <c r="H2" s="9">
        <v>0.8</v>
      </c>
      <c r="I2" s="9">
        <v>0.42</v>
      </c>
      <c r="J2" s="9">
        <v>0.77</v>
      </c>
      <c r="K2" s="9">
        <v>0.57999999999999996</v>
      </c>
      <c r="L2" s="9">
        <v>-0.16</v>
      </c>
      <c r="M2" s="9">
        <v>0.31</v>
      </c>
      <c r="N2" s="9">
        <v>-0.03</v>
      </c>
      <c r="O2" s="9">
        <v>0.61</v>
      </c>
      <c r="P2" s="9">
        <v>0.01</v>
      </c>
      <c r="Q2" s="9">
        <v>-0.08</v>
      </c>
      <c r="R2" s="9">
        <v>0.05</v>
      </c>
      <c r="S2" s="9">
        <v>0.96</v>
      </c>
      <c r="T2" s="9">
        <v>0.95</v>
      </c>
      <c r="U2" s="9">
        <v>0.73</v>
      </c>
      <c r="V2" s="9">
        <v>0.27</v>
      </c>
      <c r="W2" s="9">
        <v>-0.11</v>
      </c>
      <c r="X2" s="9">
        <v>-0.15</v>
      </c>
      <c r="Y2" s="9">
        <v>0.75</v>
      </c>
      <c r="Z2" s="9">
        <v>0.83</v>
      </c>
      <c r="AA2" s="9">
        <v>0.81</v>
      </c>
      <c r="AB2" s="9">
        <v>0.36</v>
      </c>
      <c r="AC2" s="9">
        <v>0.84</v>
      </c>
      <c r="AD2" s="9">
        <v>0.74</v>
      </c>
      <c r="AE2" s="9">
        <v>-0.38</v>
      </c>
      <c r="AF2" s="9">
        <v>0.64</v>
      </c>
      <c r="AG2" s="9">
        <v>-0.02</v>
      </c>
      <c r="AH2" s="9">
        <v>0.72</v>
      </c>
      <c r="AI2" s="9">
        <v>-0.65</v>
      </c>
      <c r="AJ2" s="9">
        <v>0.78</v>
      </c>
      <c r="AK2" s="9">
        <v>0.59</v>
      </c>
      <c r="AL2" s="9">
        <v>0.14000000000000001</v>
      </c>
    </row>
    <row r="3" spans="1:38" x14ac:dyDescent="0.25">
      <c r="A3" s="9" t="s">
        <v>93</v>
      </c>
      <c r="B3" s="9">
        <v>0.5</v>
      </c>
      <c r="C3" s="9">
        <v>1</v>
      </c>
      <c r="D3" s="9">
        <v>-0.12</v>
      </c>
      <c r="E3" s="9">
        <v>-0.1</v>
      </c>
      <c r="F3" s="9">
        <v>0.49</v>
      </c>
      <c r="G3" s="9">
        <v>0.53</v>
      </c>
      <c r="H3" s="9">
        <v>0.54</v>
      </c>
      <c r="I3" s="9">
        <v>0.3</v>
      </c>
      <c r="J3" s="9">
        <v>0.54</v>
      </c>
      <c r="K3" s="9">
        <v>0.56000000000000005</v>
      </c>
      <c r="L3" s="9">
        <v>-0.47</v>
      </c>
      <c r="M3" s="9">
        <v>0.21</v>
      </c>
      <c r="N3" s="9">
        <v>7.0000000000000007E-2</v>
      </c>
      <c r="O3" s="9">
        <v>0.59</v>
      </c>
      <c r="P3" s="9">
        <v>-7.0000000000000007E-2</v>
      </c>
      <c r="Q3" s="9">
        <v>0.08</v>
      </c>
      <c r="R3" s="9">
        <v>0.01</v>
      </c>
      <c r="S3" s="9">
        <v>0.52</v>
      </c>
      <c r="T3" s="9">
        <v>0.47</v>
      </c>
      <c r="U3" s="9">
        <v>0.47</v>
      </c>
      <c r="V3" s="9">
        <v>0.28999999999999998</v>
      </c>
      <c r="W3" s="9">
        <v>-0.36</v>
      </c>
      <c r="X3" s="9">
        <v>0.03</v>
      </c>
      <c r="Y3" s="9">
        <v>0.57999999999999996</v>
      </c>
      <c r="Z3" s="9">
        <v>0.49</v>
      </c>
      <c r="AA3" s="9">
        <v>0.62</v>
      </c>
      <c r="AB3" s="9">
        <v>0.22</v>
      </c>
      <c r="AC3" s="9">
        <v>0.64</v>
      </c>
      <c r="AD3" s="9">
        <v>0.56999999999999995</v>
      </c>
      <c r="AE3" s="9">
        <v>-0.42</v>
      </c>
      <c r="AF3" s="9">
        <v>0.65</v>
      </c>
      <c r="AG3" s="9">
        <v>-0.14000000000000001</v>
      </c>
      <c r="AH3" s="9">
        <v>0.44</v>
      </c>
      <c r="AI3" s="9">
        <v>-0.5</v>
      </c>
      <c r="AJ3" s="9">
        <v>0.62</v>
      </c>
      <c r="AK3" s="9">
        <v>0.23</v>
      </c>
      <c r="AL3" s="9">
        <v>-0.28000000000000003</v>
      </c>
    </row>
    <row r="4" spans="1:38" x14ac:dyDescent="0.25">
      <c r="A4" s="9" t="s">
        <v>101</v>
      </c>
      <c r="B4" s="9">
        <v>-0.23</v>
      </c>
      <c r="C4" s="9">
        <v>-0.12</v>
      </c>
      <c r="D4" s="9">
        <v>1</v>
      </c>
      <c r="E4" s="9">
        <v>0.23</v>
      </c>
      <c r="F4" s="9">
        <v>-0.3</v>
      </c>
      <c r="G4" s="9">
        <v>-0.17</v>
      </c>
      <c r="H4" s="9">
        <v>-0.22</v>
      </c>
      <c r="I4" s="9">
        <v>0.02</v>
      </c>
      <c r="J4" s="9">
        <v>-0.1</v>
      </c>
      <c r="K4" s="9">
        <v>-0.04</v>
      </c>
      <c r="L4" s="9">
        <v>0.12</v>
      </c>
      <c r="M4" s="9">
        <v>-0.09</v>
      </c>
      <c r="N4" s="9">
        <v>-0.05</v>
      </c>
      <c r="O4" s="9">
        <v>-0.08</v>
      </c>
      <c r="P4" s="9">
        <v>0.25</v>
      </c>
      <c r="Q4" s="9">
        <v>0.17</v>
      </c>
      <c r="R4" s="9">
        <v>-0.02</v>
      </c>
      <c r="S4" s="9">
        <v>-0.2</v>
      </c>
      <c r="T4" s="9">
        <v>-0.24</v>
      </c>
      <c r="U4" s="9">
        <v>-0.13</v>
      </c>
      <c r="V4" s="9">
        <v>-0.17</v>
      </c>
      <c r="W4" s="9">
        <v>0.05</v>
      </c>
      <c r="X4" s="9">
        <v>-0.01</v>
      </c>
      <c r="Y4" s="9">
        <v>-0.28999999999999998</v>
      </c>
      <c r="Z4" s="9">
        <v>-0.16</v>
      </c>
      <c r="AA4" s="9">
        <v>-0.24</v>
      </c>
      <c r="AB4" s="9">
        <v>-0.28000000000000003</v>
      </c>
      <c r="AC4" s="9">
        <v>-0.22</v>
      </c>
      <c r="AD4" s="9">
        <v>-0.28000000000000003</v>
      </c>
      <c r="AE4" s="9">
        <v>-0.12</v>
      </c>
      <c r="AF4" s="9">
        <v>-0.17</v>
      </c>
      <c r="AG4" s="9">
        <v>-7.0000000000000007E-2</v>
      </c>
      <c r="AH4" s="9">
        <v>-7.0000000000000007E-2</v>
      </c>
      <c r="AI4" s="9">
        <v>0.16</v>
      </c>
      <c r="AJ4" s="9">
        <v>-0.1</v>
      </c>
      <c r="AK4" s="9">
        <v>-0.22</v>
      </c>
      <c r="AL4" s="9">
        <v>-0.03</v>
      </c>
    </row>
    <row r="5" spans="1:38" x14ac:dyDescent="0.25">
      <c r="A5" s="9" t="s">
        <v>102</v>
      </c>
      <c r="B5" s="9">
        <v>-0.22</v>
      </c>
      <c r="C5" s="9">
        <v>-0.1</v>
      </c>
      <c r="D5" s="9">
        <v>0.23</v>
      </c>
      <c r="E5" s="9">
        <v>1</v>
      </c>
      <c r="F5" s="9">
        <v>-0.21</v>
      </c>
      <c r="G5" s="9">
        <v>-0.2</v>
      </c>
      <c r="H5" s="9">
        <v>-0.32</v>
      </c>
      <c r="I5" s="9">
        <v>0.04</v>
      </c>
      <c r="J5" s="9">
        <v>-0.19</v>
      </c>
      <c r="K5" s="9">
        <v>-0.17</v>
      </c>
      <c r="L5" s="9">
        <v>-0.04</v>
      </c>
      <c r="M5" s="9">
        <v>0.02</v>
      </c>
      <c r="N5" s="9">
        <v>0.06</v>
      </c>
      <c r="O5" s="9">
        <v>-0.12</v>
      </c>
      <c r="P5" s="9">
        <v>-0.09</v>
      </c>
      <c r="Q5" s="9">
        <v>0.04</v>
      </c>
      <c r="R5" s="9">
        <v>-0.05</v>
      </c>
      <c r="S5" s="9">
        <v>-0.25</v>
      </c>
      <c r="T5" s="9">
        <v>-0.21</v>
      </c>
      <c r="U5" s="9">
        <v>-0.21</v>
      </c>
      <c r="V5" s="9">
        <v>-0.09</v>
      </c>
      <c r="W5" s="9">
        <v>-0.14000000000000001</v>
      </c>
      <c r="X5" s="9">
        <v>-0.1</v>
      </c>
      <c r="Y5" s="9">
        <v>-0.25</v>
      </c>
      <c r="Z5" s="9">
        <v>-0.25</v>
      </c>
      <c r="AA5" s="9">
        <v>-0.17</v>
      </c>
      <c r="AB5" s="9">
        <v>-0.3</v>
      </c>
      <c r="AC5" s="9">
        <v>-0.15</v>
      </c>
      <c r="AD5" s="9">
        <v>-0.26</v>
      </c>
      <c r="AE5" s="9">
        <v>0.13</v>
      </c>
      <c r="AF5" s="9">
        <v>-0.14000000000000001</v>
      </c>
      <c r="AG5" s="9">
        <v>0.02</v>
      </c>
      <c r="AH5" s="9">
        <v>-0.34</v>
      </c>
      <c r="AI5" s="9">
        <v>0.12</v>
      </c>
      <c r="AJ5" s="9">
        <v>-0.2</v>
      </c>
      <c r="AK5" s="9">
        <v>-0.28999999999999998</v>
      </c>
      <c r="AL5" s="9">
        <v>-0.12</v>
      </c>
    </row>
    <row r="6" spans="1:38" x14ac:dyDescent="0.25">
      <c r="A6" s="9" t="s">
        <v>103</v>
      </c>
      <c r="B6" s="9">
        <v>0.77</v>
      </c>
      <c r="C6" s="9">
        <v>0.49</v>
      </c>
      <c r="D6" s="9">
        <v>-0.3</v>
      </c>
      <c r="E6" s="9">
        <v>-0.21</v>
      </c>
      <c r="F6" s="9">
        <v>1</v>
      </c>
      <c r="G6" s="9">
        <v>0.67</v>
      </c>
      <c r="H6" s="9">
        <v>0.86</v>
      </c>
      <c r="I6" s="9">
        <v>0.48</v>
      </c>
      <c r="J6" s="9">
        <v>0.8</v>
      </c>
      <c r="K6" s="9">
        <v>0.54</v>
      </c>
      <c r="L6" s="9">
        <v>-0.2</v>
      </c>
      <c r="M6" s="9">
        <v>0.35</v>
      </c>
      <c r="N6" s="9">
        <v>0.12</v>
      </c>
      <c r="O6" s="9">
        <v>0.56999999999999995</v>
      </c>
      <c r="P6" s="9">
        <v>0.12</v>
      </c>
      <c r="Q6" s="9">
        <v>-0.03</v>
      </c>
      <c r="R6" s="9">
        <v>-0.19</v>
      </c>
      <c r="S6" s="9">
        <v>0.76</v>
      </c>
      <c r="T6" s="9">
        <v>0.73</v>
      </c>
      <c r="U6" s="9">
        <v>0.9</v>
      </c>
      <c r="V6" s="9">
        <v>0.17</v>
      </c>
      <c r="W6" s="9">
        <v>-0.15</v>
      </c>
      <c r="X6" s="9">
        <v>0.03</v>
      </c>
      <c r="Y6" s="9">
        <v>0.73</v>
      </c>
      <c r="Z6" s="9">
        <v>0.83</v>
      </c>
      <c r="AA6" s="9">
        <v>0.8</v>
      </c>
      <c r="AB6" s="9">
        <v>0.34</v>
      </c>
      <c r="AC6" s="9">
        <v>0.78</v>
      </c>
      <c r="AD6" s="9">
        <v>0.72</v>
      </c>
      <c r="AE6" s="9">
        <v>-0.2</v>
      </c>
      <c r="AF6" s="9">
        <v>0.54</v>
      </c>
      <c r="AG6" s="9">
        <v>0.05</v>
      </c>
      <c r="AH6" s="9">
        <v>0.56999999999999995</v>
      </c>
      <c r="AI6" s="9">
        <v>-0.47</v>
      </c>
      <c r="AJ6" s="9">
        <v>0.8</v>
      </c>
      <c r="AK6" s="9">
        <v>0.44</v>
      </c>
      <c r="AL6" s="9">
        <v>-0.13</v>
      </c>
    </row>
    <row r="7" spans="1:38" x14ac:dyDescent="0.25">
      <c r="A7" s="9" t="s">
        <v>104</v>
      </c>
      <c r="B7" s="9">
        <v>0.64</v>
      </c>
      <c r="C7" s="9">
        <v>0.53</v>
      </c>
      <c r="D7" s="9">
        <v>-0.17</v>
      </c>
      <c r="E7" s="9">
        <v>-0.2</v>
      </c>
      <c r="F7" s="9">
        <v>0.67</v>
      </c>
      <c r="G7" s="9">
        <v>1</v>
      </c>
      <c r="H7" s="9">
        <v>0.76</v>
      </c>
      <c r="I7" s="9">
        <v>0.57999999999999996</v>
      </c>
      <c r="J7" s="9">
        <v>0.64</v>
      </c>
      <c r="K7" s="9">
        <v>0.67</v>
      </c>
      <c r="L7" s="9">
        <v>-0.22</v>
      </c>
      <c r="M7" s="9">
        <v>0.14000000000000001</v>
      </c>
      <c r="N7" s="9">
        <v>-0.03</v>
      </c>
      <c r="O7" s="9">
        <v>0.74</v>
      </c>
      <c r="P7" s="9">
        <v>-0.24</v>
      </c>
      <c r="Q7" s="9">
        <v>-0.1</v>
      </c>
      <c r="R7" s="9">
        <v>0.01</v>
      </c>
      <c r="S7" s="9">
        <v>0.68</v>
      </c>
      <c r="T7" s="9">
        <v>0.6</v>
      </c>
      <c r="U7" s="9">
        <v>0.52</v>
      </c>
      <c r="V7" s="9">
        <v>0.09</v>
      </c>
      <c r="W7" s="9">
        <v>-0.37</v>
      </c>
      <c r="X7" s="9">
        <v>0.03</v>
      </c>
      <c r="Y7" s="9">
        <v>0.56000000000000005</v>
      </c>
      <c r="Z7" s="9">
        <v>0.76</v>
      </c>
      <c r="AA7" s="9">
        <v>0.66</v>
      </c>
      <c r="AB7" s="9">
        <v>0.09</v>
      </c>
      <c r="AC7" s="9">
        <v>0.75</v>
      </c>
      <c r="AD7" s="9">
        <v>0.5</v>
      </c>
      <c r="AE7" s="9">
        <v>-0.45</v>
      </c>
      <c r="AF7" s="9">
        <v>0.59</v>
      </c>
      <c r="AG7" s="9">
        <v>-0.16</v>
      </c>
      <c r="AH7" s="9">
        <v>0.47</v>
      </c>
      <c r="AI7" s="9">
        <v>-0.56999999999999995</v>
      </c>
      <c r="AJ7" s="9">
        <v>0.88</v>
      </c>
      <c r="AK7" s="9">
        <v>0.41</v>
      </c>
      <c r="AL7" s="9">
        <v>-0.23</v>
      </c>
    </row>
    <row r="8" spans="1:38" x14ac:dyDescent="0.25">
      <c r="A8" s="9" t="s">
        <v>105</v>
      </c>
      <c r="B8" s="9">
        <v>0.8</v>
      </c>
      <c r="C8" s="9">
        <v>0.54</v>
      </c>
      <c r="D8" s="9">
        <v>-0.22</v>
      </c>
      <c r="E8" s="9">
        <v>-0.32</v>
      </c>
      <c r="F8" s="9">
        <v>0.86</v>
      </c>
      <c r="G8" s="9">
        <v>0.76</v>
      </c>
      <c r="H8" s="9">
        <v>1</v>
      </c>
      <c r="I8" s="9">
        <v>0.57999999999999996</v>
      </c>
      <c r="J8" s="9">
        <v>0.78</v>
      </c>
      <c r="K8" s="9">
        <v>0.68</v>
      </c>
      <c r="L8" s="9">
        <v>-0.14000000000000001</v>
      </c>
      <c r="M8" s="9">
        <v>0.37</v>
      </c>
      <c r="N8" s="9">
        <v>0.27</v>
      </c>
      <c r="O8" s="9">
        <v>0.72</v>
      </c>
      <c r="P8" s="9">
        <v>0.13</v>
      </c>
      <c r="Q8" s="9">
        <v>0.13</v>
      </c>
      <c r="R8" s="9">
        <v>0</v>
      </c>
      <c r="S8" s="9">
        <v>0.83</v>
      </c>
      <c r="T8" s="9">
        <v>0.76</v>
      </c>
      <c r="U8" s="9">
        <v>0.76</v>
      </c>
      <c r="V8" s="9">
        <v>0.14000000000000001</v>
      </c>
      <c r="W8" s="9">
        <v>-0.1</v>
      </c>
      <c r="X8" s="9">
        <v>0.1</v>
      </c>
      <c r="Y8" s="9">
        <v>0.77</v>
      </c>
      <c r="Z8" s="9">
        <v>0.95</v>
      </c>
      <c r="AA8" s="9">
        <v>0.87</v>
      </c>
      <c r="AB8" s="9">
        <v>0.35</v>
      </c>
      <c r="AC8" s="9">
        <v>0.89</v>
      </c>
      <c r="AD8" s="9">
        <v>0.73</v>
      </c>
      <c r="AE8" s="9">
        <v>-0.2</v>
      </c>
      <c r="AF8" s="9">
        <v>0.56999999999999995</v>
      </c>
      <c r="AG8" s="9">
        <v>0.19</v>
      </c>
      <c r="AH8" s="9">
        <v>0.69</v>
      </c>
      <c r="AI8" s="9">
        <v>-0.52</v>
      </c>
      <c r="AJ8" s="9">
        <v>0.87</v>
      </c>
      <c r="AK8" s="9">
        <v>0.6</v>
      </c>
      <c r="AL8" s="9">
        <v>-0.12</v>
      </c>
    </row>
    <row r="9" spans="1:38" x14ac:dyDescent="0.25">
      <c r="A9" s="9" t="s">
        <v>106</v>
      </c>
      <c r="B9" s="9">
        <v>0.42</v>
      </c>
      <c r="C9" s="9">
        <v>0.3</v>
      </c>
      <c r="D9" s="9">
        <v>0.02</v>
      </c>
      <c r="E9" s="9">
        <v>0.04</v>
      </c>
      <c r="F9" s="9">
        <v>0.48</v>
      </c>
      <c r="G9" s="9">
        <v>0.57999999999999996</v>
      </c>
      <c r="H9" s="9">
        <v>0.57999999999999996</v>
      </c>
      <c r="I9" s="9">
        <v>1</v>
      </c>
      <c r="J9" s="9">
        <v>0.39</v>
      </c>
      <c r="K9" s="9">
        <v>0.47</v>
      </c>
      <c r="L9" s="9">
        <v>-0.1</v>
      </c>
      <c r="M9" s="9">
        <v>0.27</v>
      </c>
      <c r="N9" s="9">
        <v>0.46</v>
      </c>
      <c r="O9" s="9">
        <v>0.42</v>
      </c>
      <c r="P9" s="9">
        <v>0.12</v>
      </c>
      <c r="Q9" s="9">
        <v>0.33</v>
      </c>
      <c r="R9" s="9">
        <v>-0.06</v>
      </c>
      <c r="S9" s="9">
        <v>0.43</v>
      </c>
      <c r="T9" s="9">
        <v>0.36</v>
      </c>
      <c r="U9" s="9">
        <v>0.38</v>
      </c>
      <c r="V9" s="9">
        <v>0.16</v>
      </c>
      <c r="W9" s="9">
        <v>-0.1</v>
      </c>
      <c r="X9" s="9">
        <v>0.24</v>
      </c>
      <c r="Y9" s="9">
        <v>0.62</v>
      </c>
      <c r="Z9" s="9">
        <v>0.72</v>
      </c>
      <c r="AA9" s="9">
        <v>0.68</v>
      </c>
      <c r="AB9" s="9">
        <v>0.37</v>
      </c>
      <c r="AC9" s="9">
        <v>0.67</v>
      </c>
      <c r="AD9" s="9">
        <v>0.52</v>
      </c>
      <c r="AE9" s="9">
        <v>0.02</v>
      </c>
      <c r="AF9" s="9">
        <v>0.36</v>
      </c>
      <c r="AG9" s="9">
        <v>0.41</v>
      </c>
      <c r="AH9" s="9">
        <v>0.39</v>
      </c>
      <c r="AI9" s="9">
        <v>-0.22</v>
      </c>
      <c r="AJ9" s="9">
        <v>0.56999999999999995</v>
      </c>
      <c r="AK9" s="9">
        <v>0.22</v>
      </c>
      <c r="AL9" s="9">
        <v>-0.25</v>
      </c>
    </row>
    <row r="10" spans="1:38" x14ac:dyDescent="0.25">
      <c r="A10" s="9" t="s">
        <v>107</v>
      </c>
      <c r="B10" s="9">
        <v>0.77</v>
      </c>
      <c r="C10" s="9">
        <v>0.54</v>
      </c>
      <c r="D10" s="9">
        <v>-0.1</v>
      </c>
      <c r="E10" s="9">
        <v>-0.19</v>
      </c>
      <c r="F10" s="9">
        <v>0.8</v>
      </c>
      <c r="G10" s="9">
        <v>0.64</v>
      </c>
      <c r="H10" s="9">
        <v>0.78</v>
      </c>
      <c r="I10" s="9">
        <v>0.39</v>
      </c>
      <c r="J10" s="9">
        <v>1</v>
      </c>
      <c r="K10" s="9">
        <v>0.56999999999999995</v>
      </c>
      <c r="L10" s="9">
        <v>-0.28999999999999998</v>
      </c>
      <c r="M10" s="9">
        <v>0.23</v>
      </c>
      <c r="N10" s="9">
        <v>-0.09</v>
      </c>
      <c r="O10" s="9">
        <v>0.65</v>
      </c>
      <c r="P10" s="9">
        <v>-7.0000000000000007E-2</v>
      </c>
      <c r="Q10" s="9">
        <v>-0.15</v>
      </c>
      <c r="R10" s="9">
        <v>-0.15</v>
      </c>
      <c r="S10" s="9">
        <v>0.77</v>
      </c>
      <c r="T10" s="9">
        <v>0.76</v>
      </c>
      <c r="U10" s="9">
        <v>0.77</v>
      </c>
      <c r="V10" s="9">
        <v>0.21</v>
      </c>
      <c r="W10" s="9">
        <v>-0.24</v>
      </c>
      <c r="X10" s="9">
        <v>-0.08</v>
      </c>
      <c r="Y10" s="9">
        <v>0.6</v>
      </c>
      <c r="Z10" s="9">
        <v>0.76</v>
      </c>
      <c r="AA10" s="9">
        <v>0.72</v>
      </c>
      <c r="AB10" s="9">
        <v>0.14000000000000001</v>
      </c>
      <c r="AC10" s="9">
        <v>0.77</v>
      </c>
      <c r="AD10" s="9">
        <v>0.57999999999999996</v>
      </c>
      <c r="AE10" s="9">
        <v>-0.41</v>
      </c>
      <c r="AF10" s="9">
        <v>0.59</v>
      </c>
      <c r="AG10" s="9">
        <v>-0.12</v>
      </c>
      <c r="AH10" s="9">
        <v>0.6</v>
      </c>
      <c r="AI10" s="9">
        <v>-0.55000000000000004</v>
      </c>
      <c r="AJ10" s="9">
        <v>0.85</v>
      </c>
      <c r="AK10" s="9">
        <v>0.42</v>
      </c>
      <c r="AL10" s="9">
        <v>-0.09</v>
      </c>
    </row>
    <row r="11" spans="1:38" x14ac:dyDescent="0.25">
      <c r="A11" s="9" t="s">
        <v>108</v>
      </c>
      <c r="B11" s="9">
        <v>0.57999999999999996</v>
      </c>
      <c r="C11" s="9">
        <v>0.56000000000000005</v>
      </c>
      <c r="D11" s="9">
        <v>-0.04</v>
      </c>
      <c r="E11" s="9">
        <v>-0.17</v>
      </c>
      <c r="F11" s="9">
        <v>0.54</v>
      </c>
      <c r="G11" s="9">
        <v>0.67</v>
      </c>
      <c r="H11" s="9">
        <v>0.68</v>
      </c>
      <c r="I11" s="9">
        <v>0.47</v>
      </c>
      <c r="J11" s="9">
        <v>0.56999999999999995</v>
      </c>
      <c r="K11" s="9">
        <v>1</v>
      </c>
      <c r="L11" s="9">
        <v>-0.37</v>
      </c>
      <c r="M11" s="9">
        <v>0.15</v>
      </c>
      <c r="N11" s="9">
        <v>-0.04</v>
      </c>
      <c r="O11" s="9">
        <v>0.68</v>
      </c>
      <c r="P11" s="9">
        <v>-0.15</v>
      </c>
      <c r="Q11" s="9">
        <v>-0.02</v>
      </c>
      <c r="R11" s="9">
        <v>0.05</v>
      </c>
      <c r="S11" s="9">
        <v>0.6</v>
      </c>
      <c r="T11" s="9">
        <v>0.53</v>
      </c>
      <c r="U11" s="9">
        <v>0.48</v>
      </c>
      <c r="V11" s="9">
        <v>0.19</v>
      </c>
      <c r="W11" s="9">
        <v>-0.39</v>
      </c>
      <c r="X11" s="9">
        <v>0.01</v>
      </c>
      <c r="Y11" s="9">
        <v>0.44</v>
      </c>
      <c r="Z11" s="9">
        <v>0.69</v>
      </c>
      <c r="AA11" s="9">
        <v>0.55000000000000004</v>
      </c>
      <c r="AB11" s="9">
        <v>0.01</v>
      </c>
      <c r="AC11" s="9">
        <v>0.65</v>
      </c>
      <c r="AD11" s="9">
        <v>0.36</v>
      </c>
      <c r="AE11" s="9">
        <v>-0.38</v>
      </c>
      <c r="AF11" s="9">
        <v>0.61</v>
      </c>
      <c r="AG11" s="9">
        <v>-0.15</v>
      </c>
      <c r="AH11" s="9">
        <v>0.32</v>
      </c>
      <c r="AI11" s="9">
        <v>-0.37</v>
      </c>
      <c r="AJ11" s="9">
        <v>0.84</v>
      </c>
      <c r="AK11" s="9">
        <v>0.46</v>
      </c>
      <c r="AL11" s="9">
        <v>-0.09</v>
      </c>
    </row>
    <row r="12" spans="1:38" x14ac:dyDescent="0.25">
      <c r="A12" s="9" t="s">
        <v>109</v>
      </c>
      <c r="B12" s="9">
        <v>-0.16</v>
      </c>
      <c r="C12" s="9">
        <v>-0.47</v>
      </c>
      <c r="D12" s="9">
        <v>0.12</v>
      </c>
      <c r="E12" s="9">
        <v>-0.04</v>
      </c>
      <c r="F12" s="9">
        <v>-0.2</v>
      </c>
      <c r="G12" s="9">
        <v>-0.22</v>
      </c>
      <c r="H12" s="9">
        <v>-0.14000000000000001</v>
      </c>
      <c r="I12" s="9">
        <v>-0.1</v>
      </c>
      <c r="J12" s="9">
        <v>-0.28999999999999998</v>
      </c>
      <c r="K12" s="9">
        <v>-0.37</v>
      </c>
      <c r="L12" s="9">
        <v>1</v>
      </c>
      <c r="M12" s="9">
        <v>0.1</v>
      </c>
      <c r="N12" s="9">
        <v>0.1</v>
      </c>
      <c r="O12" s="9">
        <v>-0.39</v>
      </c>
      <c r="P12" s="9">
        <v>0.22</v>
      </c>
      <c r="Q12" s="9">
        <v>0.14000000000000001</v>
      </c>
      <c r="R12" s="9">
        <v>0.09</v>
      </c>
      <c r="S12" s="9">
        <v>-0.14000000000000001</v>
      </c>
      <c r="T12" s="9">
        <v>-0.11</v>
      </c>
      <c r="U12" s="9">
        <v>-7.0000000000000007E-2</v>
      </c>
      <c r="V12" s="9">
        <v>0.01</v>
      </c>
      <c r="W12" s="9">
        <v>0.55000000000000004</v>
      </c>
      <c r="X12" s="9">
        <v>0.03</v>
      </c>
      <c r="Y12" s="9">
        <v>-0.14000000000000001</v>
      </c>
      <c r="Z12" s="9">
        <v>-0.15</v>
      </c>
      <c r="AA12" s="9">
        <v>-0.23</v>
      </c>
      <c r="AB12" s="9">
        <v>0.15</v>
      </c>
      <c r="AC12" s="9">
        <v>-0.25</v>
      </c>
      <c r="AD12" s="9">
        <v>-0.08</v>
      </c>
      <c r="AE12" s="9">
        <v>0.36</v>
      </c>
      <c r="AF12" s="9">
        <v>-0.49</v>
      </c>
      <c r="AG12" s="9">
        <v>0.27</v>
      </c>
      <c r="AH12" s="9">
        <v>-0.03</v>
      </c>
      <c r="AI12" s="9">
        <v>0.31</v>
      </c>
      <c r="AJ12" s="9">
        <v>-0.33</v>
      </c>
      <c r="AK12" s="9">
        <v>-0.2</v>
      </c>
      <c r="AL12" s="9">
        <v>0.44</v>
      </c>
    </row>
    <row r="13" spans="1:38" x14ac:dyDescent="0.25">
      <c r="A13" s="9" t="s">
        <v>94</v>
      </c>
      <c r="B13" s="9">
        <v>0.31</v>
      </c>
      <c r="C13" s="9">
        <v>0.21</v>
      </c>
      <c r="D13" s="9">
        <v>-0.09</v>
      </c>
      <c r="E13" s="9">
        <v>0.02</v>
      </c>
      <c r="F13" s="9">
        <v>0.35</v>
      </c>
      <c r="G13" s="9">
        <v>0.14000000000000001</v>
      </c>
      <c r="H13" s="9">
        <v>0.37</v>
      </c>
      <c r="I13" s="9">
        <v>0.27</v>
      </c>
      <c r="J13" s="9">
        <v>0.23</v>
      </c>
      <c r="K13" s="9">
        <v>0.15</v>
      </c>
      <c r="L13" s="9">
        <v>0.1</v>
      </c>
      <c r="M13" s="9">
        <v>1</v>
      </c>
      <c r="N13" s="9">
        <v>0.43</v>
      </c>
      <c r="O13" s="9">
        <v>0.18</v>
      </c>
      <c r="P13" s="9">
        <v>0.34</v>
      </c>
      <c r="Q13" s="9">
        <v>0.37</v>
      </c>
      <c r="R13" s="9">
        <v>0.2</v>
      </c>
      <c r="S13" s="9">
        <v>0.34</v>
      </c>
      <c r="T13" s="9">
        <v>0.4</v>
      </c>
      <c r="U13" s="9">
        <v>0.33</v>
      </c>
      <c r="V13" s="9">
        <v>-0.06</v>
      </c>
      <c r="W13" s="9">
        <v>0.14000000000000001</v>
      </c>
      <c r="X13" s="9">
        <v>0.1</v>
      </c>
      <c r="Y13" s="9">
        <v>0.4</v>
      </c>
      <c r="Z13" s="9">
        <v>0.35</v>
      </c>
      <c r="AA13" s="9">
        <v>0.36</v>
      </c>
      <c r="AB13" s="9">
        <v>0.38</v>
      </c>
      <c r="AC13" s="9">
        <v>0.33</v>
      </c>
      <c r="AD13" s="9">
        <v>0.35</v>
      </c>
      <c r="AE13" s="9">
        <v>0.1</v>
      </c>
      <c r="AF13" s="9">
        <v>0.02</v>
      </c>
      <c r="AG13" s="9">
        <v>0.32</v>
      </c>
      <c r="AH13" s="9">
        <v>0.17</v>
      </c>
      <c r="AI13" s="9">
        <v>-0.04</v>
      </c>
      <c r="AJ13" s="9">
        <v>0.22</v>
      </c>
      <c r="AK13" s="9">
        <v>-0.06</v>
      </c>
      <c r="AL13" s="9">
        <v>0.19</v>
      </c>
    </row>
    <row r="14" spans="1:38" x14ac:dyDescent="0.25">
      <c r="A14" s="9" t="s">
        <v>110</v>
      </c>
      <c r="B14" s="9">
        <v>-0.03</v>
      </c>
      <c r="C14" s="9">
        <v>7.0000000000000007E-2</v>
      </c>
      <c r="D14" s="9">
        <v>-0.05</v>
      </c>
      <c r="E14" s="9">
        <v>0.06</v>
      </c>
      <c r="F14" s="9">
        <v>0.12</v>
      </c>
      <c r="G14" s="9">
        <v>-0.03</v>
      </c>
      <c r="H14" s="9">
        <v>0.27</v>
      </c>
      <c r="I14" s="9">
        <v>0.46</v>
      </c>
      <c r="J14" s="9">
        <v>-0.09</v>
      </c>
      <c r="K14" s="9">
        <v>-0.04</v>
      </c>
      <c r="L14" s="9">
        <v>0.1</v>
      </c>
      <c r="M14" s="9">
        <v>0.43</v>
      </c>
      <c r="N14" s="9">
        <v>1</v>
      </c>
      <c r="O14" s="9">
        <v>0.1</v>
      </c>
      <c r="P14" s="9">
        <v>0.5</v>
      </c>
      <c r="Q14" s="9">
        <v>0.79</v>
      </c>
      <c r="R14" s="9">
        <v>0.11</v>
      </c>
      <c r="S14" s="9">
        <v>0.02</v>
      </c>
      <c r="T14" s="9">
        <v>0.01</v>
      </c>
      <c r="U14" s="9">
        <v>0.06</v>
      </c>
      <c r="V14" s="9">
        <v>0.05</v>
      </c>
      <c r="W14" s="9">
        <v>0.3</v>
      </c>
      <c r="X14" s="9">
        <v>0.51</v>
      </c>
      <c r="Y14" s="9">
        <v>0.3</v>
      </c>
      <c r="Z14" s="9">
        <v>0.27</v>
      </c>
      <c r="AA14" s="9">
        <v>0.3</v>
      </c>
      <c r="AB14" s="9">
        <v>0.41</v>
      </c>
      <c r="AC14" s="9">
        <v>0.18</v>
      </c>
      <c r="AD14" s="9">
        <v>0.22</v>
      </c>
      <c r="AE14" s="9">
        <v>0.65</v>
      </c>
      <c r="AF14" s="9">
        <v>-0.1</v>
      </c>
      <c r="AG14" s="9">
        <v>0.82</v>
      </c>
      <c r="AH14" s="9">
        <v>0.12</v>
      </c>
      <c r="AI14" s="9">
        <v>0.09</v>
      </c>
      <c r="AJ14" s="9">
        <v>-0.03</v>
      </c>
      <c r="AK14" s="9">
        <v>0.01</v>
      </c>
      <c r="AL14" s="9">
        <v>-0.08</v>
      </c>
    </row>
    <row r="15" spans="1:38" x14ac:dyDescent="0.25">
      <c r="A15" s="9" t="s">
        <v>95</v>
      </c>
      <c r="B15" s="9">
        <v>0.61</v>
      </c>
      <c r="C15" s="9">
        <v>0.59</v>
      </c>
      <c r="D15" s="9">
        <v>-0.08</v>
      </c>
      <c r="E15" s="9">
        <v>-0.12</v>
      </c>
      <c r="F15" s="9">
        <v>0.56999999999999995</v>
      </c>
      <c r="G15" s="9">
        <v>0.74</v>
      </c>
      <c r="H15" s="9">
        <v>0.72</v>
      </c>
      <c r="I15" s="9">
        <v>0.42</v>
      </c>
      <c r="J15" s="9">
        <v>0.65</v>
      </c>
      <c r="K15" s="9">
        <v>0.68</v>
      </c>
      <c r="L15" s="9">
        <v>-0.39</v>
      </c>
      <c r="M15" s="9">
        <v>0.18</v>
      </c>
      <c r="N15" s="9">
        <v>0.1</v>
      </c>
      <c r="O15" s="9">
        <v>1</v>
      </c>
      <c r="P15" s="9">
        <v>-0.08</v>
      </c>
      <c r="Q15" s="9">
        <v>0</v>
      </c>
      <c r="R15" s="9">
        <v>0.12</v>
      </c>
      <c r="S15" s="9">
        <v>0.65</v>
      </c>
      <c r="T15" s="9">
        <v>0.63</v>
      </c>
      <c r="U15" s="9">
        <v>0.48</v>
      </c>
      <c r="V15" s="9">
        <v>0.12</v>
      </c>
      <c r="W15" s="9">
        <v>-0.22</v>
      </c>
      <c r="X15" s="9">
        <v>0.01</v>
      </c>
      <c r="Y15" s="9">
        <v>0.52</v>
      </c>
      <c r="Z15" s="9">
        <v>0.7</v>
      </c>
      <c r="AA15" s="9">
        <v>0.67</v>
      </c>
      <c r="AB15" s="9">
        <v>7.0000000000000007E-2</v>
      </c>
      <c r="AC15" s="9">
        <v>0.7</v>
      </c>
      <c r="AD15" s="9">
        <v>0.49</v>
      </c>
      <c r="AE15" s="9">
        <v>-0.28999999999999998</v>
      </c>
      <c r="AF15" s="9">
        <v>0.56999999999999995</v>
      </c>
      <c r="AG15" s="9">
        <v>0</v>
      </c>
      <c r="AH15" s="9">
        <v>0.48</v>
      </c>
      <c r="AI15" s="9">
        <v>-0.6</v>
      </c>
      <c r="AJ15" s="9">
        <v>0.77</v>
      </c>
      <c r="AK15" s="9">
        <v>0.37</v>
      </c>
      <c r="AL15" s="9">
        <v>-0.09</v>
      </c>
    </row>
    <row r="16" spans="1:38" x14ac:dyDescent="0.25">
      <c r="A16" s="9" t="s">
        <v>96</v>
      </c>
      <c r="B16" s="9">
        <v>0.01</v>
      </c>
      <c r="C16" s="9">
        <v>-7.0000000000000007E-2</v>
      </c>
      <c r="D16" s="9">
        <v>0.25</v>
      </c>
      <c r="E16" s="9">
        <v>-0.09</v>
      </c>
      <c r="F16" s="9">
        <v>0.12</v>
      </c>
      <c r="G16" s="9">
        <v>-0.24</v>
      </c>
      <c r="H16" s="9">
        <v>0.13</v>
      </c>
      <c r="I16" s="9">
        <v>0.12</v>
      </c>
      <c r="J16" s="9">
        <v>-7.0000000000000007E-2</v>
      </c>
      <c r="K16" s="9">
        <v>-0.15</v>
      </c>
      <c r="L16" s="9">
        <v>0.22</v>
      </c>
      <c r="M16" s="9">
        <v>0.34</v>
      </c>
      <c r="N16" s="9">
        <v>0.5</v>
      </c>
      <c r="O16" s="9">
        <v>-0.08</v>
      </c>
      <c r="P16" s="9">
        <v>1</v>
      </c>
      <c r="Q16" s="9">
        <v>0.5</v>
      </c>
      <c r="R16" s="9">
        <v>0.24</v>
      </c>
      <c r="S16" s="9">
        <v>0.04</v>
      </c>
      <c r="T16" s="9">
        <v>0.01</v>
      </c>
      <c r="U16" s="9">
        <v>0.21</v>
      </c>
      <c r="V16" s="9">
        <v>0.06</v>
      </c>
      <c r="W16" s="9">
        <v>0.5</v>
      </c>
      <c r="X16" s="9">
        <v>0.28000000000000003</v>
      </c>
      <c r="Y16" s="9">
        <v>0.05</v>
      </c>
      <c r="Z16" s="9">
        <v>0.12</v>
      </c>
      <c r="AA16" s="9">
        <v>7.0000000000000007E-2</v>
      </c>
      <c r="AB16" s="9">
        <v>0.19</v>
      </c>
      <c r="AC16" s="9">
        <v>-0.06</v>
      </c>
      <c r="AD16" s="9">
        <v>0.11</v>
      </c>
      <c r="AE16" s="9">
        <v>0.35</v>
      </c>
      <c r="AF16" s="9">
        <v>-0.24</v>
      </c>
      <c r="AG16" s="9">
        <v>0.5</v>
      </c>
      <c r="AH16" s="9">
        <v>0.17</v>
      </c>
      <c r="AI16" s="9">
        <v>0.24</v>
      </c>
      <c r="AJ16" s="9">
        <v>-0.15</v>
      </c>
      <c r="AK16" s="9">
        <v>-0.16</v>
      </c>
      <c r="AL16" s="9">
        <v>0.05</v>
      </c>
    </row>
    <row r="17" spans="1:38" x14ac:dyDescent="0.25">
      <c r="A17" s="9" t="s">
        <v>111</v>
      </c>
      <c r="B17" s="9">
        <v>-0.08</v>
      </c>
      <c r="C17" s="9">
        <v>0.08</v>
      </c>
      <c r="D17" s="9">
        <v>0.17</v>
      </c>
      <c r="E17" s="9">
        <v>0.04</v>
      </c>
      <c r="F17" s="9">
        <v>-0.03</v>
      </c>
      <c r="G17" s="9">
        <v>-0.1</v>
      </c>
      <c r="H17" s="9">
        <v>0.13</v>
      </c>
      <c r="I17" s="9">
        <v>0.33</v>
      </c>
      <c r="J17" s="9">
        <v>-0.15</v>
      </c>
      <c r="K17" s="9">
        <v>-0.02</v>
      </c>
      <c r="L17" s="9">
        <v>0.14000000000000001</v>
      </c>
      <c r="M17" s="9">
        <v>0.37</v>
      </c>
      <c r="N17" s="9">
        <v>0.79</v>
      </c>
      <c r="O17" s="9">
        <v>0</v>
      </c>
      <c r="P17" s="9">
        <v>0.5</v>
      </c>
      <c r="Q17" s="9">
        <v>1</v>
      </c>
      <c r="R17" s="9">
        <v>0.14000000000000001</v>
      </c>
      <c r="S17" s="9">
        <v>-0.02</v>
      </c>
      <c r="T17" s="9">
        <v>-0.04</v>
      </c>
      <c r="U17" s="9">
        <v>0.01</v>
      </c>
      <c r="V17" s="9">
        <v>0.06</v>
      </c>
      <c r="W17" s="9">
        <v>0.35</v>
      </c>
      <c r="X17" s="9">
        <v>0.31</v>
      </c>
      <c r="Y17" s="9">
        <v>0.23</v>
      </c>
      <c r="Z17" s="9">
        <v>0.15</v>
      </c>
      <c r="AA17" s="9">
        <v>0.17</v>
      </c>
      <c r="AB17" s="9">
        <v>0.39</v>
      </c>
      <c r="AC17" s="9">
        <v>0.09</v>
      </c>
      <c r="AD17" s="9">
        <v>0.19</v>
      </c>
      <c r="AE17" s="9">
        <v>0.36</v>
      </c>
      <c r="AF17" s="9">
        <v>-0.02</v>
      </c>
      <c r="AG17" s="9">
        <v>0.55000000000000004</v>
      </c>
      <c r="AH17" s="9">
        <v>0.03</v>
      </c>
      <c r="AI17" s="9">
        <v>0.05</v>
      </c>
      <c r="AJ17" s="9">
        <v>-0.09</v>
      </c>
      <c r="AK17" s="9">
        <v>-0.04</v>
      </c>
      <c r="AL17" s="9">
        <v>0.03</v>
      </c>
    </row>
    <row r="18" spans="1:38" x14ac:dyDescent="0.25">
      <c r="A18" s="9" t="s">
        <v>112</v>
      </c>
      <c r="B18" s="9">
        <v>0.05</v>
      </c>
      <c r="C18" s="9">
        <v>0.01</v>
      </c>
      <c r="D18" s="9">
        <v>-0.02</v>
      </c>
      <c r="E18" s="9">
        <v>-0.05</v>
      </c>
      <c r="F18" s="9">
        <v>-0.19</v>
      </c>
      <c r="G18" s="9">
        <v>0.01</v>
      </c>
      <c r="H18" s="9">
        <v>0</v>
      </c>
      <c r="I18" s="9">
        <v>-0.06</v>
      </c>
      <c r="J18" s="9">
        <v>-0.15</v>
      </c>
      <c r="K18" s="9">
        <v>0.05</v>
      </c>
      <c r="L18" s="9">
        <v>0.09</v>
      </c>
      <c r="M18" s="9">
        <v>0.2</v>
      </c>
      <c r="N18" s="9">
        <v>0.11</v>
      </c>
      <c r="O18" s="9">
        <v>0.12</v>
      </c>
      <c r="P18" s="9">
        <v>0.24</v>
      </c>
      <c r="Q18" s="9">
        <v>0.14000000000000001</v>
      </c>
      <c r="R18" s="9">
        <v>1</v>
      </c>
      <c r="S18" s="9">
        <v>0.11</v>
      </c>
      <c r="T18" s="9">
        <v>7.0000000000000007E-2</v>
      </c>
      <c r="U18" s="9">
        <v>-0.2</v>
      </c>
      <c r="V18" s="9">
        <v>-0.11</v>
      </c>
      <c r="W18" s="9">
        <v>0.27</v>
      </c>
      <c r="X18" s="9">
        <v>0.05</v>
      </c>
      <c r="Y18" s="9">
        <v>-7.0000000000000007E-2</v>
      </c>
      <c r="Z18" s="9">
        <v>-0.05</v>
      </c>
      <c r="AA18" s="9">
        <v>-7.0000000000000007E-2</v>
      </c>
      <c r="AB18" s="9">
        <v>-0.03</v>
      </c>
      <c r="AC18" s="9">
        <v>-0.06</v>
      </c>
      <c r="AD18" s="9">
        <v>-0.04</v>
      </c>
      <c r="AE18" s="9">
        <v>-0.03</v>
      </c>
      <c r="AF18" s="9">
        <v>-0.18</v>
      </c>
      <c r="AG18" s="9">
        <v>0.06</v>
      </c>
      <c r="AH18" s="9">
        <v>-0.03</v>
      </c>
      <c r="AI18" s="9">
        <v>-0.12</v>
      </c>
      <c r="AJ18" s="9">
        <v>-7.0000000000000007E-2</v>
      </c>
      <c r="AK18" s="9">
        <v>0</v>
      </c>
      <c r="AL18" s="9">
        <v>0.23</v>
      </c>
    </row>
    <row r="19" spans="1:38" x14ac:dyDescent="0.25">
      <c r="A19" s="9" t="s">
        <v>113</v>
      </c>
      <c r="B19" s="9">
        <v>0.96</v>
      </c>
      <c r="C19" s="9">
        <v>0.52</v>
      </c>
      <c r="D19" s="9">
        <v>-0.2</v>
      </c>
      <c r="E19" s="9">
        <v>-0.25</v>
      </c>
      <c r="F19" s="9">
        <v>0.76</v>
      </c>
      <c r="G19" s="9">
        <v>0.68</v>
      </c>
      <c r="H19" s="9">
        <v>0.83</v>
      </c>
      <c r="I19" s="9">
        <v>0.43</v>
      </c>
      <c r="J19" s="9">
        <v>0.77</v>
      </c>
      <c r="K19" s="9">
        <v>0.6</v>
      </c>
      <c r="L19" s="9">
        <v>-0.14000000000000001</v>
      </c>
      <c r="M19" s="9">
        <v>0.34</v>
      </c>
      <c r="N19" s="9">
        <v>0.02</v>
      </c>
      <c r="O19" s="9">
        <v>0.65</v>
      </c>
      <c r="P19" s="9">
        <v>0.04</v>
      </c>
      <c r="Q19" s="9">
        <v>-0.02</v>
      </c>
      <c r="R19" s="9">
        <v>0.11</v>
      </c>
      <c r="S19" s="9">
        <v>1</v>
      </c>
      <c r="T19" s="9">
        <v>0.96</v>
      </c>
      <c r="U19" s="9">
        <v>0.71</v>
      </c>
      <c r="V19" s="9">
        <v>0.19</v>
      </c>
      <c r="W19" s="9">
        <v>-0.12</v>
      </c>
      <c r="X19" s="9">
        <v>-0.11</v>
      </c>
      <c r="Y19" s="9">
        <v>0.72</v>
      </c>
      <c r="Z19" s="9">
        <v>0.84</v>
      </c>
      <c r="AA19" s="9">
        <v>0.79</v>
      </c>
      <c r="AB19" s="9">
        <v>0.32</v>
      </c>
      <c r="AC19" s="9">
        <v>0.82</v>
      </c>
      <c r="AD19" s="9">
        <v>0.7</v>
      </c>
      <c r="AE19" s="9">
        <v>-0.35</v>
      </c>
      <c r="AF19" s="9">
        <v>0.6</v>
      </c>
      <c r="AG19" s="9">
        <v>-0.01</v>
      </c>
      <c r="AH19" s="9">
        <v>0.74</v>
      </c>
      <c r="AI19" s="9">
        <v>-0.65</v>
      </c>
      <c r="AJ19" s="9">
        <v>0.81</v>
      </c>
      <c r="AK19" s="9">
        <v>0.56999999999999995</v>
      </c>
      <c r="AL19" s="9">
        <v>0.14000000000000001</v>
      </c>
    </row>
    <row r="20" spans="1:38" x14ac:dyDescent="0.25">
      <c r="A20" s="9" t="s">
        <v>114</v>
      </c>
      <c r="B20" s="9">
        <v>0.95</v>
      </c>
      <c r="C20" s="9">
        <v>0.47</v>
      </c>
      <c r="D20" s="9">
        <v>-0.24</v>
      </c>
      <c r="E20" s="9">
        <v>-0.21</v>
      </c>
      <c r="F20" s="9">
        <v>0.73</v>
      </c>
      <c r="G20" s="9">
        <v>0.6</v>
      </c>
      <c r="H20" s="9">
        <v>0.76</v>
      </c>
      <c r="I20" s="9">
        <v>0.36</v>
      </c>
      <c r="J20" s="9">
        <v>0.76</v>
      </c>
      <c r="K20" s="9">
        <v>0.53</v>
      </c>
      <c r="L20" s="9">
        <v>-0.11</v>
      </c>
      <c r="M20" s="9">
        <v>0.4</v>
      </c>
      <c r="N20" s="9">
        <v>0.01</v>
      </c>
      <c r="O20" s="9">
        <v>0.63</v>
      </c>
      <c r="P20" s="9">
        <v>0.01</v>
      </c>
      <c r="Q20" s="9">
        <v>-0.04</v>
      </c>
      <c r="R20" s="9">
        <v>7.0000000000000007E-2</v>
      </c>
      <c r="S20" s="9">
        <v>0.96</v>
      </c>
      <c r="T20" s="9">
        <v>1</v>
      </c>
      <c r="U20" s="9">
        <v>0.72</v>
      </c>
      <c r="V20" s="9">
        <v>0.18</v>
      </c>
      <c r="W20" s="9">
        <v>-0.13</v>
      </c>
      <c r="X20" s="9">
        <v>-0.11</v>
      </c>
      <c r="Y20" s="9">
        <v>0.7</v>
      </c>
      <c r="Z20" s="9">
        <v>0.77</v>
      </c>
      <c r="AA20" s="9">
        <v>0.76</v>
      </c>
      <c r="AB20" s="9">
        <v>0.34</v>
      </c>
      <c r="AC20" s="9">
        <v>0.78</v>
      </c>
      <c r="AD20" s="9">
        <v>0.69</v>
      </c>
      <c r="AE20" s="9">
        <v>-0.31</v>
      </c>
      <c r="AF20" s="9">
        <v>0.55000000000000004</v>
      </c>
      <c r="AG20" s="9">
        <v>0.02</v>
      </c>
      <c r="AH20" s="9">
        <v>0.74</v>
      </c>
      <c r="AI20" s="9">
        <v>-0.62</v>
      </c>
      <c r="AJ20" s="9">
        <v>0.75</v>
      </c>
      <c r="AK20" s="9">
        <v>0.48</v>
      </c>
      <c r="AL20" s="9">
        <v>0.23</v>
      </c>
    </row>
    <row r="21" spans="1:38" x14ac:dyDescent="0.25">
      <c r="A21" s="9" t="s">
        <v>115</v>
      </c>
      <c r="B21" s="9">
        <v>0.73</v>
      </c>
      <c r="C21" s="9">
        <v>0.47</v>
      </c>
      <c r="D21" s="9">
        <v>-0.13</v>
      </c>
      <c r="E21" s="9">
        <v>-0.21</v>
      </c>
      <c r="F21" s="9">
        <v>0.9</v>
      </c>
      <c r="G21" s="9">
        <v>0.52</v>
      </c>
      <c r="H21" s="9">
        <v>0.76</v>
      </c>
      <c r="I21" s="9">
        <v>0.38</v>
      </c>
      <c r="J21" s="9">
        <v>0.77</v>
      </c>
      <c r="K21" s="9">
        <v>0.48</v>
      </c>
      <c r="L21" s="9">
        <v>-7.0000000000000007E-2</v>
      </c>
      <c r="M21" s="9">
        <v>0.33</v>
      </c>
      <c r="N21" s="9">
        <v>0.06</v>
      </c>
      <c r="O21" s="9">
        <v>0.48</v>
      </c>
      <c r="P21" s="9">
        <v>0.21</v>
      </c>
      <c r="Q21" s="9">
        <v>0.01</v>
      </c>
      <c r="R21" s="9">
        <v>-0.2</v>
      </c>
      <c r="S21" s="9">
        <v>0.71</v>
      </c>
      <c r="T21" s="9">
        <v>0.72</v>
      </c>
      <c r="U21" s="9">
        <v>1</v>
      </c>
      <c r="V21" s="9">
        <v>0.18</v>
      </c>
      <c r="W21" s="9">
        <v>-0.08</v>
      </c>
      <c r="X21" s="9">
        <v>-0.03</v>
      </c>
      <c r="Y21" s="9">
        <v>0.7</v>
      </c>
      <c r="Z21" s="9">
        <v>0.73</v>
      </c>
      <c r="AA21" s="9">
        <v>0.72</v>
      </c>
      <c r="AB21" s="9">
        <v>0.4</v>
      </c>
      <c r="AC21" s="9">
        <v>0.7</v>
      </c>
      <c r="AD21" s="9">
        <v>0.73</v>
      </c>
      <c r="AE21" s="9">
        <v>-0.26</v>
      </c>
      <c r="AF21" s="9">
        <v>0.52</v>
      </c>
      <c r="AG21" s="9">
        <v>-0.01</v>
      </c>
      <c r="AH21" s="9">
        <v>0.61</v>
      </c>
      <c r="AI21" s="9">
        <v>-0.44</v>
      </c>
      <c r="AJ21" s="9">
        <v>0.72</v>
      </c>
      <c r="AK21" s="9">
        <v>0.3</v>
      </c>
      <c r="AL21" s="9">
        <v>-0.05</v>
      </c>
    </row>
    <row r="22" spans="1:38" x14ac:dyDescent="0.25">
      <c r="A22" s="9" t="s">
        <v>97</v>
      </c>
      <c r="B22" s="9">
        <v>0.27</v>
      </c>
      <c r="C22" s="9">
        <v>0.28999999999999998</v>
      </c>
      <c r="D22" s="9">
        <v>-0.17</v>
      </c>
      <c r="E22" s="9">
        <v>-0.09</v>
      </c>
      <c r="F22" s="9">
        <v>0.17</v>
      </c>
      <c r="G22" s="9">
        <v>0.09</v>
      </c>
      <c r="H22" s="9">
        <v>0.14000000000000001</v>
      </c>
      <c r="I22" s="9">
        <v>0.16</v>
      </c>
      <c r="J22" s="9">
        <v>0.21</v>
      </c>
      <c r="K22" s="9">
        <v>0.19</v>
      </c>
      <c r="L22" s="9">
        <v>0.01</v>
      </c>
      <c r="M22" s="9">
        <v>-0.06</v>
      </c>
      <c r="N22" s="9">
        <v>0.05</v>
      </c>
      <c r="O22" s="9">
        <v>0.12</v>
      </c>
      <c r="P22" s="9">
        <v>0.06</v>
      </c>
      <c r="Q22" s="9">
        <v>0.06</v>
      </c>
      <c r="R22" s="9">
        <v>-0.11</v>
      </c>
      <c r="S22" s="9">
        <v>0.19</v>
      </c>
      <c r="T22" s="9">
        <v>0.18</v>
      </c>
      <c r="U22" s="9">
        <v>0.18</v>
      </c>
      <c r="V22" s="9">
        <v>1</v>
      </c>
      <c r="W22" s="9">
        <v>0.21</v>
      </c>
      <c r="X22" s="9">
        <v>0.06</v>
      </c>
      <c r="Y22" s="9">
        <v>0.22</v>
      </c>
      <c r="Z22" s="9">
        <v>0.18</v>
      </c>
      <c r="AA22" s="9">
        <v>0.23</v>
      </c>
      <c r="AB22" s="9">
        <v>0.15</v>
      </c>
      <c r="AC22" s="9">
        <v>0.24</v>
      </c>
      <c r="AD22" s="9">
        <v>0.21</v>
      </c>
      <c r="AE22" s="9">
        <v>0.02</v>
      </c>
      <c r="AF22" s="9">
        <v>0.21</v>
      </c>
      <c r="AG22" s="9">
        <v>0.08</v>
      </c>
      <c r="AH22" s="9">
        <v>0.12</v>
      </c>
      <c r="AI22" s="9">
        <v>-0.05</v>
      </c>
      <c r="AJ22" s="9">
        <v>0.14000000000000001</v>
      </c>
      <c r="AK22" s="9">
        <v>0.14000000000000001</v>
      </c>
      <c r="AL22" s="9">
        <v>0.13</v>
      </c>
    </row>
    <row r="23" spans="1:38" x14ac:dyDescent="0.25">
      <c r="A23" s="9" t="s">
        <v>98</v>
      </c>
      <c r="B23" s="9">
        <v>-0.11</v>
      </c>
      <c r="C23" s="9">
        <v>-0.36</v>
      </c>
      <c r="D23" s="9">
        <v>0.05</v>
      </c>
      <c r="E23" s="9">
        <v>-0.14000000000000001</v>
      </c>
      <c r="F23" s="9">
        <v>-0.15</v>
      </c>
      <c r="G23" s="9">
        <v>-0.37</v>
      </c>
      <c r="H23" s="9">
        <v>-0.1</v>
      </c>
      <c r="I23" s="9">
        <v>-0.1</v>
      </c>
      <c r="J23" s="9">
        <v>-0.24</v>
      </c>
      <c r="K23" s="9">
        <v>-0.39</v>
      </c>
      <c r="L23" s="9">
        <v>0.55000000000000004</v>
      </c>
      <c r="M23" s="9">
        <v>0.14000000000000001</v>
      </c>
      <c r="N23" s="9">
        <v>0.3</v>
      </c>
      <c r="O23" s="9">
        <v>-0.22</v>
      </c>
      <c r="P23" s="9">
        <v>0.5</v>
      </c>
      <c r="Q23" s="9">
        <v>0.35</v>
      </c>
      <c r="R23" s="9">
        <v>0.27</v>
      </c>
      <c r="S23" s="9">
        <v>-0.12</v>
      </c>
      <c r="T23" s="9">
        <v>-0.13</v>
      </c>
      <c r="U23" s="9">
        <v>-0.08</v>
      </c>
      <c r="V23" s="9">
        <v>0.21</v>
      </c>
      <c r="W23" s="9">
        <v>1</v>
      </c>
      <c r="X23" s="9">
        <v>-7.0000000000000007E-2</v>
      </c>
      <c r="Y23" s="9">
        <v>0</v>
      </c>
      <c r="Z23" s="9">
        <v>-0.08</v>
      </c>
      <c r="AA23" s="9">
        <v>-0.11</v>
      </c>
      <c r="AB23" s="9">
        <v>0.35</v>
      </c>
      <c r="AC23" s="9">
        <v>-0.21</v>
      </c>
      <c r="AD23" s="9">
        <v>0.11</v>
      </c>
      <c r="AE23" s="9">
        <v>0.38</v>
      </c>
      <c r="AF23" s="9">
        <v>-0.38</v>
      </c>
      <c r="AG23" s="9">
        <v>0.39</v>
      </c>
      <c r="AH23" s="9">
        <v>-0.03</v>
      </c>
      <c r="AI23" s="9">
        <v>0.22</v>
      </c>
      <c r="AJ23" s="9">
        <v>-0.41</v>
      </c>
      <c r="AK23" s="9">
        <v>-0.05</v>
      </c>
      <c r="AL23" s="9">
        <v>0.46</v>
      </c>
    </row>
    <row r="24" spans="1:38" x14ac:dyDescent="0.25">
      <c r="A24" s="9" t="s">
        <v>116</v>
      </c>
      <c r="B24" s="9">
        <v>-0.15</v>
      </c>
      <c r="C24" s="9">
        <v>0.03</v>
      </c>
      <c r="D24" s="9">
        <v>-0.01</v>
      </c>
      <c r="E24" s="9">
        <v>-0.1</v>
      </c>
      <c r="F24" s="9">
        <v>0.03</v>
      </c>
      <c r="G24" s="9">
        <v>0.03</v>
      </c>
      <c r="H24" s="9">
        <v>0.1</v>
      </c>
      <c r="I24" s="9">
        <v>0.24</v>
      </c>
      <c r="J24" s="9">
        <v>-0.08</v>
      </c>
      <c r="K24" s="9">
        <v>0.01</v>
      </c>
      <c r="L24" s="9">
        <v>0.03</v>
      </c>
      <c r="M24" s="9">
        <v>0.1</v>
      </c>
      <c r="N24" s="9">
        <v>0.51</v>
      </c>
      <c r="O24" s="9">
        <v>0.01</v>
      </c>
      <c r="P24" s="9">
        <v>0.28000000000000003</v>
      </c>
      <c r="Q24" s="9">
        <v>0.31</v>
      </c>
      <c r="R24" s="9">
        <v>0.05</v>
      </c>
      <c r="S24" s="9">
        <v>-0.11</v>
      </c>
      <c r="T24" s="9">
        <v>-0.11</v>
      </c>
      <c r="U24" s="9">
        <v>-0.03</v>
      </c>
      <c r="V24" s="9">
        <v>0.06</v>
      </c>
      <c r="W24" s="9">
        <v>-7.0000000000000007E-2</v>
      </c>
      <c r="X24" s="9">
        <v>1</v>
      </c>
      <c r="Y24" s="9">
        <v>-0.09</v>
      </c>
      <c r="Z24" s="9">
        <v>0.04</v>
      </c>
      <c r="AA24" s="9">
        <v>0.02</v>
      </c>
      <c r="AB24" s="9">
        <v>-0.1</v>
      </c>
      <c r="AC24" s="9">
        <v>0</v>
      </c>
      <c r="AD24" s="9">
        <v>-0.14000000000000001</v>
      </c>
      <c r="AE24" s="9">
        <v>0.48</v>
      </c>
      <c r="AF24" s="9">
        <v>-0.22</v>
      </c>
      <c r="AG24" s="9">
        <v>0.55000000000000004</v>
      </c>
      <c r="AH24" s="9">
        <v>0.01</v>
      </c>
      <c r="AI24" s="9">
        <v>0.23</v>
      </c>
      <c r="AJ24" s="9">
        <v>0.01</v>
      </c>
      <c r="AK24" s="9">
        <v>-0.08</v>
      </c>
      <c r="AL24" s="9">
        <v>-0.22</v>
      </c>
    </row>
    <row r="25" spans="1:38" x14ac:dyDescent="0.25">
      <c r="A25" s="9" t="s">
        <v>117</v>
      </c>
      <c r="B25" s="9">
        <v>0.75</v>
      </c>
      <c r="C25" s="9">
        <v>0.57999999999999996</v>
      </c>
      <c r="D25" s="9">
        <v>-0.28999999999999998</v>
      </c>
      <c r="E25" s="9">
        <v>-0.25</v>
      </c>
      <c r="F25" s="9">
        <v>0.73</v>
      </c>
      <c r="G25" s="9">
        <v>0.56000000000000005</v>
      </c>
      <c r="H25" s="9">
        <v>0.77</v>
      </c>
      <c r="I25" s="9">
        <v>0.62</v>
      </c>
      <c r="J25" s="9">
        <v>0.6</v>
      </c>
      <c r="K25" s="9">
        <v>0.44</v>
      </c>
      <c r="L25" s="9">
        <v>-0.14000000000000001</v>
      </c>
      <c r="M25" s="9">
        <v>0.4</v>
      </c>
      <c r="N25" s="9">
        <v>0.3</v>
      </c>
      <c r="O25" s="9">
        <v>0.52</v>
      </c>
      <c r="P25" s="9">
        <v>0.05</v>
      </c>
      <c r="Q25" s="9">
        <v>0.23</v>
      </c>
      <c r="R25" s="9">
        <v>-7.0000000000000007E-2</v>
      </c>
      <c r="S25" s="9">
        <v>0.72</v>
      </c>
      <c r="T25" s="9">
        <v>0.7</v>
      </c>
      <c r="U25" s="9">
        <v>0.7</v>
      </c>
      <c r="V25" s="9">
        <v>0.22</v>
      </c>
      <c r="W25" s="9">
        <v>0</v>
      </c>
      <c r="X25" s="9">
        <v>-0.09</v>
      </c>
      <c r="Y25" s="9">
        <v>1</v>
      </c>
      <c r="Z25" s="9">
        <v>0.81</v>
      </c>
      <c r="AA25" s="9">
        <v>0.94</v>
      </c>
      <c r="AB25" s="9">
        <v>0.78</v>
      </c>
      <c r="AC25" s="9">
        <v>0.89</v>
      </c>
      <c r="AD25" s="9">
        <v>0.96</v>
      </c>
      <c r="AE25" s="9">
        <v>-0.23</v>
      </c>
      <c r="AF25" s="9">
        <v>0.69</v>
      </c>
      <c r="AG25" s="9">
        <v>0.21</v>
      </c>
      <c r="AH25" s="9">
        <v>0.68</v>
      </c>
      <c r="AI25" s="9">
        <v>-0.6</v>
      </c>
      <c r="AJ25" s="9">
        <v>0.64</v>
      </c>
      <c r="AK25" s="9">
        <v>0.47</v>
      </c>
      <c r="AL25" s="9">
        <v>-0.05</v>
      </c>
    </row>
    <row r="26" spans="1:38" x14ac:dyDescent="0.25">
      <c r="A26" s="9" t="s">
        <v>118</v>
      </c>
      <c r="B26" s="9">
        <v>0.83</v>
      </c>
      <c r="C26" s="9">
        <v>0.49</v>
      </c>
      <c r="D26" s="9">
        <v>-0.16</v>
      </c>
      <c r="E26" s="9">
        <v>-0.25</v>
      </c>
      <c r="F26" s="9">
        <v>0.83</v>
      </c>
      <c r="G26" s="9">
        <v>0.76</v>
      </c>
      <c r="H26" s="9">
        <v>0.95</v>
      </c>
      <c r="I26" s="9">
        <v>0.72</v>
      </c>
      <c r="J26" s="9">
        <v>0.76</v>
      </c>
      <c r="K26" s="9">
        <v>0.69</v>
      </c>
      <c r="L26" s="9">
        <v>-0.15</v>
      </c>
      <c r="M26" s="9">
        <v>0.35</v>
      </c>
      <c r="N26" s="9">
        <v>0.27</v>
      </c>
      <c r="O26" s="9">
        <v>0.7</v>
      </c>
      <c r="P26" s="9">
        <v>0.12</v>
      </c>
      <c r="Q26" s="9">
        <v>0.15</v>
      </c>
      <c r="R26" s="9">
        <v>-0.05</v>
      </c>
      <c r="S26" s="9">
        <v>0.84</v>
      </c>
      <c r="T26" s="9">
        <v>0.77</v>
      </c>
      <c r="U26" s="9">
        <v>0.73</v>
      </c>
      <c r="V26" s="9">
        <v>0.18</v>
      </c>
      <c r="W26" s="9">
        <v>-0.08</v>
      </c>
      <c r="X26" s="9">
        <v>0.04</v>
      </c>
      <c r="Y26" s="9">
        <v>0.81</v>
      </c>
      <c r="Z26" s="9">
        <v>1</v>
      </c>
      <c r="AA26" s="9">
        <v>0.9</v>
      </c>
      <c r="AB26" s="9">
        <v>0.41</v>
      </c>
      <c r="AC26" s="9">
        <v>0.91</v>
      </c>
      <c r="AD26" s="9">
        <v>0.75</v>
      </c>
      <c r="AE26" s="9">
        <v>-0.21</v>
      </c>
      <c r="AF26" s="9">
        <v>0.6</v>
      </c>
      <c r="AG26" s="9">
        <v>0.2</v>
      </c>
      <c r="AH26" s="9">
        <v>0.69</v>
      </c>
      <c r="AI26" s="9">
        <v>-0.5</v>
      </c>
      <c r="AJ26" s="9">
        <v>0.87</v>
      </c>
      <c r="AK26" s="9">
        <v>0.56999999999999995</v>
      </c>
      <c r="AL26" s="9">
        <v>-0.1</v>
      </c>
    </row>
    <row r="27" spans="1:38" x14ac:dyDescent="0.25">
      <c r="A27" s="9" t="s">
        <v>119</v>
      </c>
      <c r="B27" s="9">
        <v>0.81</v>
      </c>
      <c r="C27" s="9">
        <v>0.62</v>
      </c>
      <c r="D27" s="9">
        <v>-0.24</v>
      </c>
      <c r="E27" s="9">
        <v>-0.17</v>
      </c>
      <c r="F27" s="9">
        <v>0.8</v>
      </c>
      <c r="G27" s="9">
        <v>0.66</v>
      </c>
      <c r="H27" s="9">
        <v>0.87</v>
      </c>
      <c r="I27" s="9">
        <v>0.68</v>
      </c>
      <c r="J27" s="9">
        <v>0.72</v>
      </c>
      <c r="K27" s="9">
        <v>0.55000000000000004</v>
      </c>
      <c r="L27" s="9">
        <v>-0.23</v>
      </c>
      <c r="M27" s="9">
        <v>0.36</v>
      </c>
      <c r="N27" s="9">
        <v>0.3</v>
      </c>
      <c r="O27" s="9">
        <v>0.67</v>
      </c>
      <c r="P27" s="9">
        <v>7.0000000000000007E-2</v>
      </c>
      <c r="Q27" s="9">
        <v>0.17</v>
      </c>
      <c r="R27" s="9">
        <v>-7.0000000000000007E-2</v>
      </c>
      <c r="S27" s="9">
        <v>0.79</v>
      </c>
      <c r="T27" s="9">
        <v>0.76</v>
      </c>
      <c r="U27" s="9">
        <v>0.72</v>
      </c>
      <c r="V27" s="9">
        <v>0.23</v>
      </c>
      <c r="W27" s="9">
        <v>-0.11</v>
      </c>
      <c r="X27" s="9">
        <v>0.02</v>
      </c>
      <c r="Y27" s="9">
        <v>0.94</v>
      </c>
      <c r="Z27" s="9">
        <v>0.9</v>
      </c>
      <c r="AA27" s="9">
        <v>1</v>
      </c>
      <c r="AB27" s="9">
        <v>0.54</v>
      </c>
      <c r="AC27" s="9">
        <v>0.97</v>
      </c>
      <c r="AD27" s="9">
        <v>0.89</v>
      </c>
      <c r="AE27" s="9">
        <v>-0.21</v>
      </c>
      <c r="AF27" s="9">
        <v>0.67</v>
      </c>
      <c r="AG27" s="9">
        <v>0.26</v>
      </c>
      <c r="AH27" s="9">
        <v>0.73</v>
      </c>
      <c r="AI27" s="9">
        <v>-0.62</v>
      </c>
      <c r="AJ27" s="9">
        <v>0.77</v>
      </c>
      <c r="AK27" s="9">
        <v>0.55000000000000004</v>
      </c>
      <c r="AL27" s="9">
        <v>-0.11</v>
      </c>
    </row>
    <row r="28" spans="1:38" x14ac:dyDescent="0.25">
      <c r="A28" s="9" t="s">
        <v>120</v>
      </c>
      <c r="B28" s="9">
        <v>0.36</v>
      </c>
      <c r="C28" s="9">
        <v>0.22</v>
      </c>
      <c r="D28" s="9">
        <v>-0.28000000000000003</v>
      </c>
      <c r="E28" s="9">
        <v>-0.3</v>
      </c>
      <c r="F28" s="9">
        <v>0.34</v>
      </c>
      <c r="G28" s="9">
        <v>0.09</v>
      </c>
      <c r="H28" s="9">
        <v>0.35</v>
      </c>
      <c r="I28" s="9">
        <v>0.37</v>
      </c>
      <c r="J28" s="9">
        <v>0.14000000000000001</v>
      </c>
      <c r="K28" s="9">
        <v>0.01</v>
      </c>
      <c r="L28" s="9">
        <v>0.15</v>
      </c>
      <c r="M28" s="9">
        <v>0.38</v>
      </c>
      <c r="N28" s="9">
        <v>0.41</v>
      </c>
      <c r="O28" s="9">
        <v>7.0000000000000007E-2</v>
      </c>
      <c r="P28" s="9">
        <v>0.19</v>
      </c>
      <c r="Q28" s="9">
        <v>0.39</v>
      </c>
      <c r="R28" s="9">
        <v>-0.03</v>
      </c>
      <c r="S28" s="9">
        <v>0.32</v>
      </c>
      <c r="T28" s="9">
        <v>0.34</v>
      </c>
      <c r="U28" s="9">
        <v>0.4</v>
      </c>
      <c r="V28" s="9">
        <v>0.15</v>
      </c>
      <c r="W28" s="9">
        <v>0.35</v>
      </c>
      <c r="X28" s="9">
        <v>-0.1</v>
      </c>
      <c r="Y28" s="9">
        <v>0.78</v>
      </c>
      <c r="Z28" s="9">
        <v>0.41</v>
      </c>
      <c r="AA28" s="9">
        <v>0.54</v>
      </c>
      <c r="AB28" s="9">
        <v>1</v>
      </c>
      <c r="AC28" s="9">
        <v>0.42</v>
      </c>
      <c r="AD28" s="9">
        <v>0.78</v>
      </c>
      <c r="AE28" s="9">
        <v>7.0000000000000007E-2</v>
      </c>
      <c r="AF28" s="9">
        <v>0.38</v>
      </c>
      <c r="AG28" s="9">
        <v>0.35</v>
      </c>
      <c r="AH28" s="9">
        <v>0.4</v>
      </c>
      <c r="AI28" s="9">
        <v>-0.28999999999999998</v>
      </c>
      <c r="AJ28" s="9">
        <v>0.11</v>
      </c>
      <c r="AK28" s="9">
        <v>0.17</v>
      </c>
      <c r="AL28" s="9">
        <v>0.17</v>
      </c>
    </row>
    <row r="29" spans="1:38" x14ac:dyDescent="0.25">
      <c r="A29" s="9" t="s">
        <v>121</v>
      </c>
      <c r="B29" s="9">
        <v>0.84</v>
      </c>
      <c r="C29" s="9">
        <v>0.64</v>
      </c>
      <c r="D29" s="9">
        <v>-0.22</v>
      </c>
      <c r="E29" s="9">
        <v>-0.15</v>
      </c>
      <c r="F29" s="9">
        <v>0.78</v>
      </c>
      <c r="G29" s="9">
        <v>0.75</v>
      </c>
      <c r="H29" s="9">
        <v>0.89</v>
      </c>
      <c r="I29" s="9">
        <v>0.67</v>
      </c>
      <c r="J29" s="9">
        <v>0.77</v>
      </c>
      <c r="K29" s="9">
        <v>0.65</v>
      </c>
      <c r="L29" s="9">
        <v>-0.25</v>
      </c>
      <c r="M29" s="9">
        <v>0.33</v>
      </c>
      <c r="N29" s="9">
        <v>0.18</v>
      </c>
      <c r="O29" s="9">
        <v>0.7</v>
      </c>
      <c r="P29" s="9">
        <v>-0.06</v>
      </c>
      <c r="Q29" s="9">
        <v>0.09</v>
      </c>
      <c r="R29" s="9">
        <v>-0.06</v>
      </c>
      <c r="S29" s="9">
        <v>0.82</v>
      </c>
      <c r="T29" s="9">
        <v>0.78</v>
      </c>
      <c r="U29" s="9">
        <v>0.7</v>
      </c>
      <c r="V29" s="9">
        <v>0.24</v>
      </c>
      <c r="W29" s="9">
        <v>-0.21</v>
      </c>
      <c r="X29" s="9">
        <v>0</v>
      </c>
      <c r="Y29" s="9">
        <v>0.89</v>
      </c>
      <c r="Z29" s="9">
        <v>0.91</v>
      </c>
      <c r="AA29" s="9">
        <v>0.97</v>
      </c>
      <c r="AB29" s="9">
        <v>0.42</v>
      </c>
      <c r="AC29" s="9">
        <v>1</v>
      </c>
      <c r="AD29" s="9">
        <v>0.83</v>
      </c>
      <c r="AE29" s="9">
        <v>-0.34</v>
      </c>
      <c r="AF29" s="9">
        <v>0.7</v>
      </c>
      <c r="AG29" s="9">
        <v>0.13</v>
      </c>
      <c r="AH29" s="9">
        <v>0.71</v>
      </c>
      <c r="AI29" s="9">
        <v>-0.65</v>
      </c>
      <c r="AJ29" s="9">
        <v>0.85</v>
      </c>
      <c r="AK29" s="9">
        <v>0.59</v>
      </c>
      <c r="AL29" s="9">
        <v>-0.15</v>
      </c>
    </row>
    <row r="30" spans="1:38" x14ac:dyDescent="0.25">
      <c r="A30" s="9" t="s">
        <v>122</v>
      </c>
      <c r="B30" s="9">
        <v>0.74</v>
      </c>
      <c r="C30" s="9">
        <v>0.56999999999999995</v>
      </c>
      <c r="D30" s="9">
        <v>-0.28000000000000003</v>
      </c>
      <c r="E30" s="9">
        <v>-0.26</v>
      </c>
      <c r="F30" s="9">
        <v>0.72</v>
      </c>
      <c r="G30" s="9">
        <v>0.5</v>
      </c>
      <c r="H30" s="9">
        <v>0.73</v>
      </c>
      <c r="I30" s="9">
        <v>0.52</v>
      </c>
      <c r="J30" s="9">
        <v>0.57999999999999996</v>
      </c>
      <c r="K30" s="9">
        <v>0.36</v>
      </c>
      <c r="L30" s="9">
        <v>-0.08</v>
      </c>
      <c r="M30" s="9">
        <v>0.35</v>
      </c>
      <c r="N30" s="9">
        <v>0.22</v>
      </c>
      <c r="O30" s="9">
        <v>0.49</v>
      </c>
      <c r="P30" s="9">
        <v>0.11</v>
      </c>
      <c r="Q30" s="9">
        <v>0.19</v>
      </c>
      <c r="R30" s="9">
        <v>-0.04</v>
      </c>
      <c r="S30" s="9">
        <v>0.7</v>
      </c>
      <c r="T30" s="9">
        <v>0.69</v>
      </c>
      <c r="U30" s="9">
        <v>0.73</v>
      </c>
      <c r="V30" s="9">
        <v>0.21</v>
      </c>
      <c r="W30" s="9">
        <v>0.11</v>
      </c>
      <c r="X30" s="9">
        <v>-0.14000000000000001</v>
      </c>
      <c r="Y30" s="9">
        <v>0.96</v>
      </c>
      <c r="Z30" s="9">
        <v>0.75</v>
      </c>
      <c r="AA30" s="9">
        <v>0.89</v>
      </c>
      <c r="AB30" s="9">
        <v>0.78</v>
      </c>
      <c r="AC30" s="9">
        <v>0.83</v>
      </c>
      <c r="AD30" s="9">
        <v>1</v>
      </c>
      <c r="AE30" s="9">
        <v>-0.26</v>
      </c>
      <c r="AF30" s="9">
        <v>0.63</v>
      </c>
      <c r="AG30" s="9">
        <v>0.17</v>
      </c>
      <c r="AH30" s="9">
        <v>0.68</v>
      </c>
      <c r="AI30" s="9">
        <v>-0.57999999999999996</v>
      </c>
      <c r="AJ30" s="9">
        <v>0.57999999999999996</v>
      </c>
      <c r="AK30" s="9">
        <v>0.45</v>
      </c>
      <c r="AL30" s="9">
        <v>0</v>
      </c>
    </row>
    <row r="31" spans="1:38" x14ac:dyDescent="0.25">
      <c r="A31" s="9" t="s">
        <v>123</v>
      </c>
      <c r="B31" s="9">
        <v>-0.38</v>
      </c>
      <c r="C31" s="9">
        <v>-0.42</v>
      </c>
      <c r="D31" s="9">
        <v>-0.12</v>
      </c>
      <c r="E31" s="9">
        <v>0.13</v>
      </c>
      <c r="F31" s="9">
        <v>-0.2</v>
      </c>
      <c r="G31" s="9">
        <v>-0.45</v>
      </c>
      <c r="H31" s="9">
        <v>-0.2</v>
      </c>
      <c r="I31" s="9">
        <v>0.02</v>
      </c>
      <c r="J31" s="9">
        <v>-0.41</v>
      </c>
      <c r="K31" s="9">
        <v>-0.38</v>
      </c>
      <c r="L31" s="9">
        <v>0.36</v>
      </c>
      <c r="M31" s="9">
        <v>0.1</v>
      </c>
      <c r="N31" s="9">
        <v>0.65</v>
      </c>
      <c r="O31" s="9">
        <v>-0.28999999999999998</v>
      </c>
      <c r="P31" s="9">
        <v>0.35</v>
      </c>
      <c r="Q31" s="9">
        <v>0.36</v>
      </c>
      <c r="R31" s="9">
        <v>-0.03</v>
      </c>
      <c r="S31" s="9">
        <v>-0.35</v>
      </c>
      <c r="T31" s="9">
        <v>-0.31</v>
      </c>
      <c r="U31" s="9">
        <v>-0.26</v>
      </c>
      <c r="V31" s="9">
        <v>0.02</v>
      </c>
      <c r="W31" s="9">
        <v>0.38</v>
      </c>
      <c r="X31" s="9">
        <v>0.48</v>
      </c>
      <c r="Y31" s="9">
        <v>-0.23</v>
      </c>
      <c r="Z31" s="9">
        <v>-0.21</v>
      </c>
      <c r="AA31" s="9">
        <v>-0.21</v>
      </c>
      <c r="AB31" s="9">
        <v>7.0000000000000007E-2</v>
      </c>
      <c r="AC31" s="9">
        <v>-0.34</v>
      </c>
      <c r="AD31" s="9">
        <v>-0.26</v>
      </c>
      <c r="AE31" s="9">
        <v>1</v>
      </c>
      <c r="AF31" s="9">
        <v>-0.51</v>
      </c>
      <c r="AG31" s="9">
        <v>0.78</v>
      </c>
      <c r="AH31" s="9">
        <v>-0.3</v>
      </c>
      <c r="AI31" s="9">
        <v>0.5</v>
      </c>
      <c r="AJ31" s="9">
        <v>-0.47</v>
      </c>
      <c r="AK31" s="9">
        <v>-0.18</v>
      </c>
      <c r="AL31" s="9">
        <v>0.2</v>
      </c>
    </row>
    <row r="32" spans="1:38" x14ac:dyDescent="0.25">
      <c r="A32" s="9" t="s">
        <v>124</v>
      </c>
      <c r="B32" s="9">
        <v>0.64</v>
      </c>
      <c r="C32" s="9">
        <v>0.65</v>
      </c>
      <c r="D32" s="9">
        <v>-0.17</v>
      </c>
      <c r="E32" s="9">
        <v>-0.14000000000000001</v>
      </c>
      <c r="F32" s="9">
        <v>0.54</v>
      </c>
      <c r="G32" s="9">
        <v>0.59</v>
      </c>
      <c r="H32" s="9">
        <v>0.56999999999999995</v>
      </c>
      <c r="I32" s="9">
        <v>0.36</v>
      </c>
      <c r="J32" s="9">
        <v>0.59</v>
      </c>
      <c r="K32" s="9">
        <v>0.61</v>
      </c>
      <c r="L32" s="9">
        <v>-0.49</v>
      </c>
      <c r="M32" s="9">
        <v>0.02</v>
      </c>
      <c r="N32" s="9">
        <v>-0.1</v>
      </c>
      <c r="O32" s="9">
        <v>0.56999999999999995</v>
      </c>
      <c r="P32" s="9">
        <v>-0.24</v>
      </c>
      <c r="Q32" s="9">
        <v>-0.02</v>
      </c>
      <c r="R32" s="9">
        <v>-0.18</v>
      </c>
      <c r="S32" s="9">
        <v>0.6</v>
      </c>
      <c r="T32" s="9">
        <v>0.55000000000000004</v>
      </c>
      <c r="U32" s="9">
        <v>0.52</v>
      </c>
      <c r="V32" s="9">
        <v>0.21</v>
      </c>
      <c r="W32" s="9">
        <v>-0.38</v>
      </c>
      <c r="X32" s="9">
        <v>-0.22</v>
      </c>
      <c r="Y32" s="9">
        <v>0.69</v>
      </c>
      <c r="Z32" s="9">
        <v>0.6</v>
      </c>
      <c r="AA32" s="9">
        <v>0.67</v>
      </c>
      <c r="AB32" s="9">
        <v>0.38</v>
      </c>
      <c r="AC32" s="9">
        <v>0.7</v>
      </c>
      <c r="AD32" s="9">
        <v>0.63</v>
      </c>
      <c r="AE32" s="9">
        <v>-0.51</v>
      </c>
      <c r="AF32" s="9">
        <v>1</v>
      </c>
      <c r="AG32" s="9">
        <v>-0.23</v>
      </c>
      <c r="AH32" s="9">
        <v>0.43</v>
      </c>
      <c r="AI32" s="9">
        <v>-0.67</v>
      </c>
      <c r="AJ32" s="9">
        <v>0.68</v>
      </c>
      <c r="AK32" s="9">
        <v>0.42</v>
      </c>
      <c r="AL32" s="9">
        <v>-0.26</v>
      </c>
    </row>
    <row r="33" spans="1:38" x14ac:dyDescent="0.25">
      <c r="A33" s="9" t="s">
        <v>125</v>
      </c>
      <c r="B33" s="9">
        <v>-0.02</v>
      </c>
      <c r="C33" s="9">
        <v>-0.14000000000000001</v>
      </c>
      <c r="D33" s="9">
        <v>-7.0000000000000007E-2</v>
      </c>
      <c r="E33" s="9">
        <v>0.02</v>
      </c>
      <c r="F33" s="9">
        <v>0.05</v>
      </c>
      <c r="G33" s="9">
        <v>-0.16</v>
      </c>
      <c r="H33" s="9">
        <v>0.19</v>
      </c>
      <c r="I33" s="9">
        <v>0.41</v>
      </c>
      <c r="J33" s="9">
        <v>-0.12</v>
      </c>
      <c r="K33" s="9">
        <v>-0.15</v>
      </c>
      <c r="L33" s="9">
        <v>0.27</v>
      </c>
      <c r="M33" s="9">
        <v>0.32</v>
      </c>
      <c r="N33" s="9">
        <v>0.82</v>
      </c>
      <c r="O33" s="9">
        <v>0</v>
      </c>
      <c r="P33" s="9">
        <v>0.5</v>
      </c>
      <c r="Q33" s="9">
        <v>0.55000000000000004</v>
      </c>
      <c r="R33" s="9">
        <v>0.06</v>
      </c>
      <c r="S33" s="9">
        <v>-0.01</v>
      </c>
      <c r="T33" s="9">
        <v>0.02</v>
      </c>
      <c r="U33" s="9">
        <v>-0.01</v>
      </c>
      <c r="V33" s="9">
        <v>0.08</v>
      </c>
      <c r="W33" s="9">
        <v>0.39</v>
      </c>
      <c r="X33" s="9">
        <v>0.55000000000000004</v>
      </c>
      <c r="Y33" s="9">
        <v>0.21</v>
      </c>
      <c r="Z33" s="9">
        <v>0.2</v>
      </c>
      <c r="AA33" s="9">
        <v>0.26</v>
      </c>
      <c r="AB33" s="9">
        <v>0.35</v>
      </c>
      <c r="AC33" s="9">
        <v>0.13</v>
      </c>
      <c r="AD33" s="9">
        <v>0.17</v>
      </c>
      <c r="AE33" s="9">
        <v>0.78</v>
      </c>
      <c r="AF33" s="9">
        <v>-0.23</v>
      </c>
      <c r="AG33" s="9">
        <v>1</v>
      </c>
      <c r="AH33" s="9">
        <v>0.2</v>
      </c>
      <c r="AI33" s="9">
        <v>0.19</v>
      </c>
      <c r="AJ33" s="9">
        <v>-0.13</v>
      </c>
      <c r="AK33" s="9">
        <v>0.02</v>
      </c>
      <c r="AL33" s="9">
        <v>0.14000000000000001</v>
      </c>
    </row>
    <row r="34" spans="1:38" x14ac:dyDescent="0.25">
      <c r="A34" s="9" t="s">
        <v>126</v>
      </c>
      <c r="B34" s="9">
        <v>0.72</v>
      </c>
      <c r="C34" s="9">
        <v>0.44</v>
      </c>
      <c r="D34" s="9">
        <v>-7.0000000000000007E-2</v>
      </c>
      <c r="E34" s="9">
        <v>-0.34</v>
      </c>
      <c r="F34" s="9">
        <v>0.56999999999999995</v>
      </c>
      <c r="G34" s="9">
        <v>0.47</v>
      </c>
      <c r="H34" s="9">
        <v>0.69</v>
      </c>
      <c r="I34" s="9">
        <v>0.39</v>
      </c>
      <c r="J34" s="9">
        <v>0.6</v>
      </c>
      <c r="K34" s="9">
        <v>0.32</v>
      </c>
      <c r="L34" s="9">
        <v>-0.03</v>
      </c>
      <c r="M34" s="9">
        <v>0.17</v>
      </c>
      <c r="N34" s="9">
        <v>0.12</v>
      </c>
      <c r="O34" s="9">
        <v>0.48</v>
      </c>
      <c r="P34" s="9">
        <v>0.17</v>
      </c>
      <c r="Q34" s="9">
        <v>0.03</v>
      </c>
      <c r="R34" s="9">
        <v>-0.03</v>
      </c>
      <c r="S34" s="9">
        <v>0.74</v>
      </c>
      <c r="T34" s="9">
        <v>0.74</v>
      </c>
      <c r="U34" s="9">
        <v>0.61</v>
      </c>
      <c r="V34" s="9">
        <v>0.12</v>
      </c>
      <c r="W34" s="9">
        <v>-0.03</v>
      </c>
      <c r="X34" s="9">
        <v>0.01</v>
      </c>
      <c r="Y34" s="9">
        <v>0.68</v>
      </c>
      <c r="Z34" s="9">
        <v>0.69</v>
      </c>
      <c r="AA34" s="9">
        <v>0.73</v>
      </c>
      <c r="AB34" s="9">
        <v>0.4</v>
      </c>
      <c r="AC34" s="9">
        <v>0.71</v>
      </c>
      <c r="AD34" s="9">
        <v>0.68</v>
      </c>
      <c r="AE34" s="9">
        <v>-0.3</v>
      </c>
      <c r="AF34" s="9">
        <v>0.43</v>
      </c>
      <c r="AG34" s="9">
        <v>0.2</v>
      </c>
      <c r="AH34" s="9">
        <v>1</v>
      </c>
      <c r="AI34" s="9">
        <v>-0.57999999999999996</v>
      </c>
      <c r="AJ34" s="9">
        <v>0.59</v>
      </c>
      <c r="AK34" s="9">
        <v>0.39</v>
      </c>
      <c r="AL34" s="9">
        <v>-0.01</v>
      </c>
    </row>
    <row r="35" spans="1:38" x14ac:dyDescent="0.25">
      <c r="A35" s="9" t="s">
        <v>127</v>
      </c>
      <c r="B35" s="9">
        <v>-0.65</v>
      </c>
      <c r="C35" s="9">
        <v>-0.5</v>
      </c>
      <c r="D35" s="9">
        <v>0.16</v>
      </c>
      <c r="E35" s="9">
        <v>0.12</v>
      </c>
      <c r="F35" s="9">
        <v>-0.47</v>
      </c>
      <c r="G35" s="9">
        <v>-0.56999999999999995</v>
      </c>
      <c r="H35" s="9">
        <v>-0.52</v>
      </c>
      <c r="I35" s="9">
        <v>-0.22</v>
      </c>
      <c r="J35" s="9">
        <v>-0.55000000000000004</v>
      </c>
      <c r="K35" s="9">
        <v>-0.37</v>
      </c>
      <c r="L35" s="9">
        <v>0.31</v>
      </c>
      <c r="M35" s="9">
        <v>-0.04</v>
      </c>
      <c r="N35" s="9">
        <v>0.09</v>
      </c>
      <c r="O35" s="9">
        <v>-0.6</v>
      </c>
      <c r="P35" s="9">
        <v>0.24</v>
      </c>
      <c r="Q35" s="9">
        <v>0.05</v>
      </c>
      <c r="R35" s="9">
        <v>-0.12</v>
      </c>
      <c r="S35" s="9">
        <v>-0.65</v>
      </c>
      <c r="T35" s="9">
        <v>-0.62</v>
      </c>
      <c r="U35" s="9">
        <v>-0.44</v>
      </c>
      <c r="V35" s="9">
        <v>-0.05</v>
      </c>
      <c r="W35" s="9">
        <v>0.22</v>
      </c>
      <c r="X35" s="9">
        <v>0.23</v>
      </c>
      <c r="Y35" s="9">
        <v>-0.6</v>
      </c>
      <c r="Z35" s="9">
        <v>-0.5</v>
      </c>
      <c r="AA35" s="9">
        <v>-0.62</v>
      </c>
      <c r="AB35" s="9">
        <v>-0.28999999999999998</v>
      </c>
      <c r="AC35" s="9">
        <v>-0.65</v>
      </c>
      <c r="AD35" s="9">
        <v>-0.57999999999999996</v>
      </c>
      <c r="AE35" s="9">
        <v>0.5</v>
      </c>
      <c r="AF35" s="9">
        <v>-0.67</v>
      </c>
      <c r="AG35" s="9">
        <v>0.19</v>
      </c>
      <c r="AH35" s="9">
        <v>-0.57999999999999996</v>
      </c>
      <c r="AI35" s="9">
        <v>1</v>
      </c>
      <c r="AJ35" s="9">
        <v>-0.57999999999999996</v>
      </c>
      <c r="AK35" s="9">
        <v>-0.51</v>
      </c>
      <c r="AL35" s="9">
        <v>0.09</v>
      </c>
    </row>
    <row r="36" spans="1:38" x14ac:dyDescent="0.25">
      <c r="A36" s="9" t="s">
        <v>128</v>
      </c>
      <c r="B36" s="9">
        <v>0.78</v>
      </c>
      <c r="C36" s="9">
        <v>0.62</v>
      </c>
      <c r="D36" s="9">
        <v>-0.1</v>
      </c>
      <c r="E36" s="9">
        <v>-0.2</v>
      </c>
      <c r="F36" s="9">
        <v>0.8</v>
      </c>
      <c r="G36" s="9">
        <v>0.88</v>
      </c>
      <c r="H36" s="9">
        <v>0.87</v>
      </c>
      <c r="I36" s="9">
        <v>0.56999999999999995</v>
      </c>
      <c r="J36" s="9">
        <v>0.85</v>
      </c>
      <c r="K36" s="9">
        <v>0.84</v>
      </c>
      <c r="L36" s="9">
        <v>-0.33</v>
      </c>
      <c r="M36" s="9">
        <v>0.22</v>
      </c>
      <c r="N36" s="9">
        <v>-0.03</v>
      </c>
      <c r="O36" s="9">
        <v>0.77</v>
      </c>
      <c r="P36" s="9">
        <v>-0.15</v>
      </c>
      <c r="Q36" s="9">
        <v>-0.09</v>
      </c>
      <c r="R36" s="9">
        <v>-7.0000000000000007E-2</v>
      </c>
      <c r="S36" s="9">
        <v>0.81</v>
      </c>
      <c r="T36" s="9">
        <v>0.75</v>
      </c>
      <c r="U36" s="9">
        <v>0.72</v>
      </c>
      <c r="V36" s="9">
        <v>0.14000000000000001</v>
      </c>
      <c r="W36" s="9">
        <v>-0.41</v>
      </c>
      <c r="X36" s="9">
        <v>0.01</v>
      </c>
      <c r="Y36" s="9">
        <v>0.64</v>
      </c>
      <c r="Z36" s="9">
        <v>0.87</v>
      </c>
      <c r="AA36" s="9">
        <v>0.77</v>
      </c>
      <c r="AB36" s="9">
        <v>0.11</v>
      </c>
      <c r="AC36" s="9">
        <v>0.85</v>
      </c>
      <c r="AD36" s="9">
        <v>0.57999999999999996</v>
      </c>
      <c r="AE36" s="9">
        <v>-0.47</v>
      </c>
      <c r="AF36" s="9">
        <v>0.68</v>
      </c>
      <c r="AG36" s="9">
        <v>-0.13</v>
      </c>
      <c r="AH36" s="9">
        <v>0.59</v>
      </c>
      <c r="AI36" s="9">
        <v>-0.57999999999999996</v>
      </c>
      <c r="AJ36" s="9">
        <v>1</v>
      </c>
      <c r="AK36" s="9">
        <v>0.5</v>
      </c>
      <c r="AL36" s="9">
        <v>-0.2</v>
      </c>
    </row>
    <row r="37" spans="1:38" x14ac:dyDescent="0.25">
      <c r="A37" s="9" t="s">
        <v>99</v>
      </c>
      <c r="B37" s="9">
        <v>0.59</v>
      </c>
      <c r="C37" s="9">
        <v>0.23</v>
      </c>
      <c r="D37" s="9">
        <v>-0.22</v>
      </c>
      <c r="E37" s="9">
        <v>-0.28999999999999998</v>
      </c>
      <c r="F37" s="9">
        <v>0.44</v>
      </c>
      <c r="G37" s="9">
        <v>0.41</v>
      </c>
      <c r="H37" s="9">
        <v>0.6</v>
      </c>
      <c r="I37" s="9">
        <v>0.22</v>
      </c>
      <c r="J37" s="9">
        <v>0.42</v>
      </c>
      <c r="K37" s="9">
        <v>0.46</v>
      </c>
      <c r="L37" s="9">
        <v>-0.2</v>
      </c>
      <c r="M37" s="9">
        <v>-0.06</v>
      </c>
      <c r="N37" s="9">
        <v>0.01</v>
      </c>
      <c r="O37" s="9">
        <v>0.37</v>
      </c>
      <c r="P37" s="9">
        <v>-0.16</v>
      </c>
      <c r="Q37" s="9">
        <v>-0.04</v>
      </c>
      <c r="R37" s="9">
        <v>0</v>
      </c>
      <c r="S37" s="9">
        <v>0.56999999999999995</v>
      </c>
      <c r="T37" s="9">
        <v>0.48</v>
      </c>
      <c r="U37" s="9">
        <v>0.3</v>
      </c>
      <c r="V37" s="9">
        <v>0.14000000000000001</v>
      </c>
      <c r="W37" s="9">
        <v>-0.05</v>
      </c>
      <c r="X37" s="9">
        <v>-0.08</v>
      </c>
      <c r="Y37" s="9">
        <v>0.47</v>
      </c>
      <c r="Z37" s="9">
        <v>0.56999999999999995</v>
      </c>
      <c r="AA37" s="9">
        <v>0.55000000000000004</v>
      </c>
      <c r="AB37" s="9">
        <v>0.17</v>
      </c>
      <c r="AC37" s="9">
        <v>0.59</v>
      </c>
      <c r="AD37" s="9">
        <v>0.45</v>
      </c>
      <c r="AE37" s="9">
        <v>-0.18</v>
      </c>
      <c r="AF37" s="9">
        <v>0.42</v>
      </c>
      <c r="AG37" s="9">
        <v>0.02</v>
      </c>
      <c r="AH37" s="9">
        <v>0.39</v>
      </c>
      <c r="AI37" s="9">
        <v>-0.51</v>
      </c>
      <c r="AJ37" s="9">
        <v>0.5</v>
      </c>
      <c r="AK37" s="9">
        <v>1</v>
      </c>
      <c r="AL37" s="9">
        <v>0.08</v>
      </c>
    </row>
    <row r="38" spans="1:38" x14ac:dyDescent="0.25">
      <c r="A38" s="9" t="s">
        <v>129</v>
      </c>
      <c r="B38" s="9">
        <v>0.14000000000000001</v>
      </c>
      <c r="C38" s="9">
        <v>-0.28000000000000003</v>
      </c>
      <c r="D38" s="9">
        <v>-0.03</v>
      </c>
      <c r="E38" s="9">
        <v>-0.12</v>
      </c>
      <c r="F38" s="9">
        <v>-0.13</v>
      </c>
      <c r="G38" s="9">
        <v>-0.23</v>
      </c>
      <c r="H38" s="9">
        <v>-0.12</v>
      </c>
      <c r="I38" s="9">
        <v>-0.25</v>
      </c>
      <c r="J38" s="9">
        <v>-0.09</v>
      </c>
      <c r="K38" s="9">
        <v>-0.09</v>
      </c>
      <c r="L38" s="9">
        <v>0.44</v>
      </c>
      <c r="M38" s="9">
        <v>0.19</v>
      </c>
      <c r="N38" s="9">
        <v>-0.08</v>
      </c>
      <c r="O38" s="9">
        <v>-0.09</v>
      </c>
      <c r="P38" s="9">
        <v>0.05</v>
      </c>
      <c r="Q38" s="9">
        <v>0.03</v>
      </c>
      <c r="R38" s="9">
        <v>0.23</v>
      </c>
      <c r="S38" s="9">
        <v>0.14000000000000001</v>
      </c>
      <c r="T38" s="9">
        <v>0.23</v>
      </c>
      <c r="U38" s="9">
        <v>-0.05</v>
      </c>
      <c r="V38" s="9">
        <v>0.13</v>
      </c>
      <c r="W38" s="9">
        <v>0.46</v>
      </c>
      <c r="X38" s="9">
        <v>-0.22</v>
      </c>
      <c r="Y38" s="9">
        <v>-0.05</v>
      </c>
      <c r="Z38" s="9">
        <v>-0.1</v>
      </c>
      <c r="AA38" s="9">
        <v>-0.11</v>
      </c>
      <c r="AB38" s="9">
        <v>0.17</v>
      </c>
      <c r="AC38" s="9">
        <v>-0.15</v>
      </c>
      <c r="AD38" s="9">
        <v>0</v>
      </c>
      <c r="AE38" s="9">
        <v>0.2</v>
      </c>
      <c r="AF38" s="9">
        <v>-0.26</v>
      </c>
      <c r="AG38" s="9">
        <v>0.14000000000000001</v>
      </c>
      <c r="AH38" s="9">
        <v>-0.01</v>
      </c>
      <c r="AI38" s="9">
        <v>0.09</v>
      </c>
      <c r="AJ38" s="9">
        <v>-0.2</v>
      </c>
      <c r="AK38" s="9">
        <v>0.08</v>
      </c>
      <c r="AL38" s="9">
        <v>1</v>
      </c>
    </row>
  </sheetData>
  <conditionalFormatting sqref="B2:AL38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 CAMARGO EUGENIO DA SILVA</dc:creator>
  <cp:lastModifiedBy>RAPHAEL CAMARGO EUGENIO DA SILVA</cp:lastModifiedBy>
  <dcterms:created xsi:type="dcterms:W3CDTF">2026-05-08T11:48:25Z</dcterms:created>
  <dcterms:modified xsi:type="dcterms:W3CDTF">2026-05-08T21:33:45Z</dcterms:modified>
</cp:coreProperties>
</file>