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aphael.eugenio\Downloads\"/>
    </mc:Choice>
  </mc:AlternateContent>
  <xr:revisionPtr revIDLastSave="0" documentId="13_ncr:1_{FBC77696-43EF-44B3-AABF-44BE53D8FF9F}" xr6:coauthVersionLast="47" xr6:coauthVersionMax="47" xr10:uidLastSave="{00000000-0000-0000-0000-000000000000}"/>
  <bookViews>
    <workbookView xWindow="28680" yWindow="-120" windowWidth="21840" windowHeight="13020" xr2:uid="{00000000-000D-0000-FFFF-FFFF00000000}"/>
  </bookViews>
  <sheets>
    <sheet name="Sheet1" sheetId="1" r:id="rId1"/>
  </sheets>
  <definedNames>
    <definedName name="_xlnm._FilterDatabase" localSheetId="0" hidden="1">Sheet1!$A$1:$BB$57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 a="1"/>
  <c r="B3" i="1" s="1"/>
  <c r="B4" i="1" a="1"/>
  <c r="B4" i="1" s="1"/>
  <c r="B5" i="1" a="1"/>
  <c r="B5" i="1" s="1"/>
  <c r="B6" i="1" a="1"/>
  <c r="B6" i="1" s="1"/>
  <c r="B7" i="1" a="1"/>
  <c r="B7" i="1"/>
  <c r="B8" i="1" a="1"/>
  <c r="B8" i="1"/>
  <c r="B9" i="1" a="1"/>
  <c r="B9" i="1"/>
  <c r="B10" i="1" a="1"/>
  <c r="B10" i="1"/>
  <c r="B11" i="1" a="1"/>
  <c r="B11" i="1"/>
  <c r="B12" i="1" a="1"/>
  <c r="B12" i="1"/>
  <c r="B13" i="1" a="1"/>
  <c r="B13" i="1"/>
  <c r="B14" i="1" a="1"/>
  <c r="B14" i="1"/>
  <c r="B15" i="1" a="1"/>
  <c r="B15" i="1"/>
  <c r="B16" i="1" a="1"/>
  <c r="B16" i="1"/>
  <c r="B17" i="1" a="1"/>
  <c r="B17" i="1"/>
  <c r="B18" i="1" a="1"/>
  <c r="B18" i="1"/>
  <c r="B19" i="1" a="1"/>
  <c r="B19" i="1"/>
  <c r="B20" i="1" a="1"/>
  <c r="B20" i="1"/>
  <c r="B21" i="1" a="1"/>
  <c r="B21" i="1"/>
  <c r="B22" i="1" a="1"/>
  <c r="B22" i="1"/>
  <c r="B23" i="1" a="1"/>
  <c r="B23" i="1"/>
  <c r="B24" i="1" a="1"/>
  <c r="B24" i="1"/>
  <c r="B25" i="1" a="1"/>
  <c r="B25" i="1"/>
  <c r="B26" i="1" a="1"/>
  <c r="B26" i="1"/>
  <c r="B27" i="1" a="1"/>
  <c r="B27" i="1"/>
  <c r="B28" i="1" a="1"/>
  <c r="B28" i="1"/>
  <c r="B29" i="1" a="1"/>
  <c r="B29" i="1"/>
  <c r="B30" i="1" a="1"/>
  <c r="B30" i="1" s="1"/>
  <c r="B31" i="1" a="1"/>
  <c r="B31" i="1"/>
  <c r="B32" i="1" a="1"/>
  <c r="B32" i="1" s="1"/>
  <c r="B33" i="1" a="1"/>
  <c r="B33" i="1" s="1"/>
  <c r="B34" i="1" a="1"/>
  <c r="B34" i="1"/>
  <c r="B35" i="1" a="1"/>
  <c r="B35" i="1" s="1"/>
  <c r="B36" i="1" a="1"/>
  <c r="B36" i="1" s="1"/>
  <c r="B37" i="1" a="1"/>
  <c r="B37" i="1"/>
  <c r="B38" i="1" a="1"/>
  <c r="B38" i="1"/>
  <c r="B39" i="1" a="1"/>
  <c r="B39" i="1" s="1"/>
  <c r="B40" i="1" a="1"/>
  <c r="B40" i="1" s="1"/>
  <c r="B41" i="1" a="1"/>
  <c r="B41" i="1"/>
  <c r="B42" i="1" a="1"/>
  <c r="B42" i="1" s="1"/>
  <c r="B43" i="1" a="1"/>
  <c r="B43" i="1" s="1"/>
  <c r="B44" i="1" a="1"/>
  <c r="B44" i="1"/>
  <c r="B45" i="1" a="1"/>
  <c r="B45" i="1" s="1"/>
  <c r="B46" i="1" a="1"/>
  <c r="B46" i="1" s="1"/>
  <c r="B47" i="1" a="1"/>
  <c r="B47" i="1" s="1"/>
  <c r="B48" i="1" a="1"/>
  <c r="B48" i="1" s="1"/>
  <c r="B49" i="1" a="1"/>
  <c r="B49" i="1"/>
  <c r="B2" i="1" a="1"/>
  <c r="B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<sst xmlns="http://schemas.openxmlformats.org/spreadsheetml/2006/main" count="2594" uniqueCount="947">
  <si>
    <t>Time</t>
  </si>
  <si>
    <t>Partidas</t>
  </si>
  <si>
    <t>Gols marcados</t>
  </si>
  <si>
    <t>Gols sofridos</t>
  </si>
  <si>
    <t>Assistências</t>
  </si>
  <si>
    <t>Gols por partida</t>
  </si>
  <si>
    <t>Gols de pênalti</t>
  </si>
  <si>
    <t>Gols de falta</t>
  </si>
  <si>
    <t>Gols de dentro da área</t>
  </si>
  <si>
    <t>Gols de fora da área</t>
  </si>
  <si>
    <t>Gols com a perna esquerda</t>
  </si>
  <si>
    <t>Gols com a perna direita</t>
  </si>
  <si>
    <t>Gols de cabeça</t>
  </si>
  <si>
    <t>Grandes chances de gol por jogo</t>
  </si>
  <si>
    <t>Grandes chances perdidas por jogo</t>
  </si>
  <si>
    <t>Total de finalizações por jogo</t>
  </si>
  <si>
    <t>Chutes certos por jogo</t>
  </si>
  <si>
    <t>Chutes errados por jogo</t>
  </si>
  <si>
    <t>Chutes bloqueados por jogo</t>
  </si>
  <si>
    <t>Dribles certos por jogo</t>
  </si>
  <si>
    <t>Escanteios por jogo</t>
  </si>
  <si>
    <t>Faltas (Tiros Diretos) por jogo</t>
  </si>
  <si>
    <t>Finalizações na trave</t>
  </si>
  <si>
    <t>Contra-ataques</t>
  </si>
  <si>
    <t>Posse de bola</t>
  </si>
  <si>
    <t>Passes certos</t>
  </si>
  <si>
    <t>Passes no próprio campo</t>
  </si>
  <si>
    <t>Passes certos no terço final</t>
  </si>
  <si>
    <t>Bolas longas</t>
  </si>
  <si>
    <t>Cruzamentos certos</t>
  </si>
  <si>
    <t>Jogos sem sofrer gols</t>
  </si>
  <si>
    <t>Gols sofridos por jogo</t>
  </si>
  <si>
    <t>Desarmes por jogo</t>
  </si>
  <si>
    <t>Interceptações por jogo</t>
  </si>
  <si>
    <t>Cortes por jogo</t>
  </si>
  <si>
    <t>Defesas por jogo</t>
  </si>
  <si>
    <t>Bolas recuperadas por jogo</t>
  </si>
  <si>
    <t>Erros que levaram à finalização</t>
  </si>
  <si>
    <t>Erros que levaram ao gol</t>
  </si>
  <si>
    <t>Pênaltis cometidos</t>
  </si>
  <si>
    <t>Gols de pênalti concedidos</t>
  </si>
  <si>
    <t>Tirar em cima da linha</t>
  </si>
  <si>
    <t>Último homem a desarmar</t>
  </si>
  <si>
    <t>Desarmes por partida</t>
  </si>
  <si>
    <t>Duelos ganhos pelo chão</t>
  </si>
  <si>
    <t>Duelos aéreos ganhos</t>
  </si>
  <si>
    <t>Perda da posse de bola por jogo</t>
  </si>
  <si>
    <t>Laterais por jogo</t>
  </si>
  <si>
    <t>Tiros de meta por jogo</t>
  </si>
  <si>
    <t>Impedimentos por jogo</t>
  </si>
  <si>
    <t>Faltas por jogo</t>
  </si>
  <si>
    <t>Cartões amarelos por partida</t>
  </si>
  <si>
    <t>Bósnia e Herzegovina</t>
  </si>
  <si>
    <t>10</t>
  </si>
  <si>
    <t>19</t>
  </si>
  <si>
    <t>9</t>
  </si>
  <si>
    <t>11</t>
  </si>
  <si>
    <t>1.9</t>
  </si>
  <si>
    <t>0</t>
  </si>
  <si>
    <t>0/1</t>
  </si>
  <si>
    <t>15/108</t>
  </si>
  <si>
    <t>3/52</t>
  </si>
  <si>
    <t>7</t>
  </si>
  <si>
    <t>2</t>
  </si>
  <si>
    <t>2.7</t>
  </si>
  <si>
    <t>1.4</t>
  </si>
  <si>
    <t>16</t>
  </si>
  <si>
    <t>5.3</t>
  </si>
  <si>
    <t>6.6</t>
  </si>
  <si>
    <t>4.1</t>
  </si>
  <si>
    <t>9.7</t>
  </si>
  <si>
    <t>4.6</t>
  </si>
  <si>
    <t>12.9</t>
  </si>
  <si>
    <t>4</t>
  </si>
  <si>
    <t>49.9%</t>
  </si>
  <si>
    <t>340 (79.8%)</t>
  </si>
  <si>
    <t>162 (89.9%)</t>
  </si>
  <si>
    <t>179 (70%)</t>
  </si>
  <si>
    <t>17.5 (45.5%)</t>
  </si>
  <si>
    <t>5.5 (26.8%)</t>
  </si>
  <si>
    <t>3</t>
  </si>
  <si>
    <t>0.9</t>
  </si>
  <si>
    <t>14</t>
  </si>
  <si>
    <t>6.8</t>
  </si>
  <si>
    <t>32</t>
  </si>
  <si>
    <t>47.7</t>
  </si>
  <si>
    <t>1</t>
  </si>
  <si>
    <t>54.4 (51.5%)</t>
  </si>
  <si>
    <t>36.4 (49.8%)</t>
  </si>
  <si>
    <t>18 (55.4%)</t>
  </si>
  <si>
    <t>135.1</t>
  </si>
  <si>
    <t>20.8</t>
  </si>
  <si>
    <t>8.1</t>
  </si>
  <si>
    <t>1.7</t>
  </si>
  <si>
    <t>17.7</t>
  </si>
  <si>
    <t>2.8</t>
  </si>
  <si>
    <t>Suíça</t>
  </si>
  <si>
    <t>6</t>
  </si>
  <si>
    <t>12</t>
  </si>
  <si>
    <t>2.3</t>
  </si>
  <si>
    <t>2/2</t>
  </si>
  <si>
    <t>14/46</t>
  </si>
  <si>
    <t>0/19</t>
  </si>
  <si>
    <t>5</t>
  </si>
  <si>
    <t>1.5</t>
  </si>
  <si>
    <t>10.8</t>
  </si>
  <si>
    <t>3.2</t>
  </si>
  <si>
    <t>6.2</t>
  </si>
  <si>
    <t>4.3</t>
  </si>
  <si>
    <t>12.5</t>
  </si>
  <si>
    <t>60.5%</t>
  </si>
  <si>
    <t>521 (88.4%)</t>
  </si>
  <si>
    <t>264 (93.7%)</t>
  </si>
  <si>
    <t>257 (80.3%)</t>
  </si>
  <si>
    <t>20 (55.6%)</t>
  </si>
  <si>
    <t>3.8 (23.5%)</t>
  </si>
  <si>
    <t>0.3</t>
  </si>
  <si>
    <t>6.7</t>
  </si>
  <si>
    <t>14.7</t>
  </si>
  <si>
    <t>1.3</t>
  </si>
  <si>
    <t>48.7</t>
  </si>
  <si>
    <t>43.2 (52%)</t>
  </si>
  <si>
    <t>32.7 (52.8%)</t>
  </si>
  <si>
    <t>10.5 (49.6%)</t>
  </si>
  <si>
    <t>116.3</t>
  </si>
  <si>
    <t>18.7</t>
  </si>
  <si>
    <t>0.7</t>
  </si>
  <si>
    <t>Escócia</t>
  </si>
  <si>
    <t>13</t>
  </si>
  <si>
    <t>2.2</t>
  </si>
  <si>
    <t>0/0</t>
  </si>
  <si>
    <t>10/51</t>
  </si>
  <si>
    <t>2/16</t>
  </si>
  <si>
    <t>11.2</t>
  </si>
  <si>
    <t>4.8</t>
  </si>
  <si>
    <t>3.8</t>
  </si>
  <si>
    <t>2.5</t>
  </si>
  <si>
    <t>8.8</t>
  </si>
  <si>
    <t>4.5</t>
  </si>
  <si>
    <t>44.7%</t>
  </si>
  <si>
    <t>339 (83.4%)</t>
  </si>
  <si>
    <t>181 (93.3%)</t>
  </si>
  <si>
    <t>157 (69.6%)</t>
  </si>
  <si>
    <t>16.5 (49%)</t>
  </si>
  <si>
    <t>6.5 (31.2%)</t>
  </si>
  <si>
    <t>1.2</t>
  </si>
  <si>
    <t>7.3</t>
  </si>
  <si>
    <t>29.3</t>
  </si>
  <si>
    <t>40.8</t>
  </si>
  <si>
    <t>49.2 (51.3%)</t>
  </si>
  <si>
    <t>32 (50.4%)</t>
  </si>
  <si>
    <t>17.2 (53.1%)</t>
  </si>
  <si>
    <t>115.5</t>
  </si>
  <si>
    <t>16.3</t>
  </si>
  <si>
    <t>8.2</t>
  </si>
  <si>
    <t>12.7</t>
  </si>
  <si>
    <t>Turquia</t>
  </si>
  <si>
    <t>8</t>
  </si>
  <si>
    <t>2.4</t>
  </si>
  <si>
    <t>1/1</t>
  </si>
  <si>
    <t>0/3</t>
  </si>
  <si>
    <t>16/56</t>
  </si>
  <si>
    <t>1/49</t>
  </si>
  <si>
    <t>2.1</t>
  </si>
  <si>
    <t>0.8</t>
  </si>
  <si>
    <t>13.1</t>
  </si>
  <si>
    <t>4.4</t>
  </si>
  <si>
    <t>9.1</t>
  </si>
  <si>
    <t>54.8%</t>
  </si>
  <si>
    <t>415 (85%)</t>
  </si>
  <si>
    <t>205 (92.2%)</t>
  </si>
  <si>
    <t>209 (76.7%)</t>
  </si>
  <si>
    <t>18 (51.4%)</t>
  </si>
  <si>
    <t>2.6 (18.8%)</t>
  </si>
  <si>
    <t>16.5</t>
  </si>
  <si>
    <t>8.9</t>
  </si>
  <si>
    <t>23.4</t>
  </si>
  <si>
    <t>2.6</t>
  </si>
  <si>
    <t>44.3</t>
  </si>
  <si>
    <t>47.5 (54.8%)</t>
  </si>
  <si>
    <t>36.1 (54.5%)</t>
  </si>
  <si>
    <t>11.4 (55.5%)</t>
  </si>
  <si>
    <t>121</t>
  </si>
  <si>
    <t>9.3</t>
  </si>
  <si>
    <t>Alemanha</t>
  </si>
  <si>
    <t>2/5</t>
  </si>
  <si>
    <t>14/73</t>
  </si>
  <si>
    <t>2/30</t>
  </si>
  <si>
    <t>4.2</t>
  </si>
  <si>
    <t>17.2</t>
  </si>
  <si>
    <t>6.5</t>
  </si>
  <si>
    <t>5.8</t>
  </si>
  <si>
    <t>9.5</t>
  </si>
  <si>
    <t>73.2%</t>
  </si>
  <si>
    <t>616 (89.7%)</t>
  </si>
  <si>
    <t>276 (94.8%)</t>
  </si>
  <si>
    <t>338 (82.3%)</t>
  </si>
  <si>
    <t>19.8 (57.5%)</t>
  </si>
  <si>
    <t>5 (23.1%)</t>
  </si>
  <si>
    <t>0.5</t>
  </si>
  <si>
    <t>10.7</t>
  </si>
  <si>
    <t>5.5</t>
  </si>
  <si>
    <t>17.5</t>
  </si>
  <si>
    <t>45.8</t>
  </si>
  <si>
    <t>39.8 (47.5%)</t>
  </si>
  <si>
    <t>26.2 (44.4%)</t>
  </si>
  <si>
    <t>13.7 (55%)</t>
  </si>
  <si>
    <t>21.2</t>
  </si>
  <si>
    <t>Holanda</t>
  </si>
  <si>
    <t>27</t>
  </si>
  <si>
    <t>18</t>
  </si>
  <si>
    <t>3.4</t>
  </si>
  <si>
    <t>5/5</t>
  </si>
  <si>
    <t>0/4</t>
  </si>
  <si>
    <t>24/101</t>
  </si>
  <si>
    <t>3/38</t>
  </si>
  <si>
    <t>17.4</t>
  </si>
  <si>
    <t>6.4</t>
  </si>
  <si>
    <t>8.6</t>
  </si>
  <si>
    <t>11.4</t>
  </si>
  <si>
    <t>66.6%</t>
  </si>
  <si>
    <t>570 (91.2%)</t>
  </si>
  <si>
    <t>206 (95.7%)</t>
  </si>
  <si>
    <t>366 (85.5%)</t>
  </si>
  <si>
    <t>15.5 (70.5%)</t>
  </si>
  <si>
    <t>6.9 (30.1%)</t>
  </si>
  <si>
    <t>11.1</t>
  </si>
  <si>
    <t>1.8</t>
  </si>
  <si>
    <t>41.9</t>
  </si>
  <si>
    <t>42.9 (54.7%)</t>
  </si>
  <si>
    <t>31.1 (52.3%)</t>
  </si>
  <si>
    <t>11.8 (62.3%)</t>
  </si>
  <si>
    <t>103.3</t>
  </si>
  <si>
    <t>15</t>
  </si>
  <si>
    <t>Suécia</t>
  </si>
  <si>
    <t>10/62</t>
  </si>
  <si>
    <t>0/14</t>
  </si>
  <si>
    <t>1.6</t>
  </si>
  <si>
    <t>3.1</t>
  </si>
  <si>
    <t>6.3</t>
  </si>
  <si>
    <t>4.9</t>
  </si>
  <si>
    <t>12.3</t>
  </si>
  <si>
    <t>50.4%</t>
  </si>
  <si>
    <t>380 (82.7%)</t>
  </si>
  <si>
    <t>170 (91.2%)</t>
  </si>
  <si>
    <t>211 (74.1%)</t>
  </si>
  <si>
    <t>13.6 (43.8%)</t>
  </si>
  <si>
    <t>4.6 (28.7%)</t>
  </si>
  <si>
    <t>10.4</t>
  </si>
  <si>
    <t>9.6</t>
  </si>
  <si>
    <t>24.5</t>
  </si>
  <si>
    <t>49.6</t>
  </si>
  <si>
    <t>40.3 (47.4%)</t>
  </si>
  <si>
    <t>28.8 (47.1%)</t>
  </si>
  <si>
    <t>11.5 (47.9%)</t>
  </si>
  <si>
    <t>129.4</t>
  </si>
  <si>
    <t>19.3</t>
  </si>
  <si>
    <t>13.9</t>
  </si>
  <si>
    <t>Bélgica</t>
  </si>
  <si>
    <t>29</t>
  </si>
  <si>
    <t>3.6</t>
  </si>
  <si>
    <t>4/4</t>
  </si>
  <si>
    <t>26/129</t>
  </si>
  <si>
    <t>3/49</t>
  </si>
  <si>
    <t>22.3</t>
  </si>
  <si>
    <t>10.3</t>
  </si>
  <si>
    <t>68.1%</t>
  </si>
  <si>
    <t>516 (88.4%)</t>
  </si>
  <si>
    <t>170 (94%)</t>
  </si>
  <si>
    <t>345 (82%)</t>
  </si>
  <si>
    <t>24.5 (70%)</t>
  </si>
  <si>
    <t>7.1 (27.8%)</t>
  </si>
  <si>
    <t>13.3</t>
  </si>
  <si>
    <t>46.1</t>
  </si>
  <si>
    <t>47.1 (55%)</t>
  </si>
  <si>
    <t>35.3 (52.7%)</t>
  </si>
  <si>
    <t>11.9 (62.9%)</t>
  </si>
  <si>
    <t>123.4</t>
  </si>
  <si>
    <t>21.5</t>
  </si>
  <si>
    <t>3.9</t>
  </si>
  <si>
    <t>1.1</t>
  </si>
  <si>
    <t>Espanha</t>
  </si>
  <si>
    <t>21</t>
  </si>
  <si>
    <t>3.5</t>
  </si>
  <si>
    <t>2/3</t>
  </si>
  <si>
    <t>1/2</t>
  </si>
  <si>
    <t>17/105</t>
  </si>
  <si>
    <t>3/32</t>
  </si>
  <si>
    <t>7.5</t>
  </si>
  <si>
    <t>5.2</t>
  </si>
  <si>
    <t>22.8</t>
  </si>
  <si>
    <t>7.2</t>
  </si>
  <si>
    <t>70.5%</t>
  </si>
  <si>
    <t>670 (91.9%)</t>
  </si>
  <si>
    <t>221 (95.8%)</t>
  </si>
  <si>
    <t>446 (87.1%)</t>
  </si>
  <si>
    <t>22.5 (74.2%)</t>
  </si>
  <si>
    <t>4.5 (21.8%)</t>
  </si>
  <si>
    <t>5.7</t>
  </si>
  <si>
    <t>46.2</t>
  </si>
  <si>
    <t>34.3 (50.1%)</t>
  </si>
  <si>
    <t>25.8 (48.7%)</t>
  </si>
  <si>
    <t>8.5 (54.8%)</t>
  </si>
  <si>
    <t>103.2</t>
  </si>
  <si>
    <t>9.8</t>
  </si>
  <si>
    <t>França</t>
  </si>
  <si>
    <t>15/81</t>
  </si>
  <si>
    <t>0/50</t>
  </si>
  <si>
    <t>3.7</t>
  </si>
  <si>
    <t>21.8</t>
  </si>
  <si>
    <t>7.7</t>
  </si>
  <si>
    <t>12.2</t>
  </si>
  <si>
    <t>68.5%</t>
  </si>
  <si>
    <t>592 (90.5%)</t>
  </si>
  <si>
    <t>176 (93.4%)</t>
  </si>
  <si>
    <t>415 (86.1%)</t>
  </si>
  <si>
    <t>21 (67.4%)</t>
  </si>
  <si>
    <t>4.8 (21.5%)</t>
  </si>
  <si>
    <t>46.7</t>
  </si>
  <si>
    <t>47.8 (52.2%)</t>
  </si>
  <si>
    <t>35.7 (52.1%)</t>
  </si>
  <si>
    <t>12.2 (52.5%)</t>
  </si>
  <si>
    <t>120</t>
  </si>
  <si>
    <t>20.7</t>
  </si>
  <si>
    <t>3.3</t>
  </si>
  <si>
    <t>10.2</t>
  </si>
  <si>
    <t>Noruega</t>
  </si>
  <si>
    <t>37</t>
  </si>
  <si>
    <t>34/121</t>
  </si>
  <si>
    <t>0/34</t>
  </si>
  <si>
    <t>19.4</t>
  </si>
  <si>
    <t>7.6</t>
  </si>
  <si>
    <t>6.1</t>
  </si>
  <si>
    <t>5.6</t>
  </si>
  <si>
    <t>10.1</t>
  </si>
  <si>
    <t>10.6</t>
  </si>
  <si>
    <t>57.5%</t>
  </si>
  <si>
    <t>483 (89.5%)</t>
  </si>
  <si>
    <t>217 (93.9%)</t>
  </si>
  <si>
    <t>266 (83.1%)</t>
  </si>
  <si>
    <t>14.3 (65.1%)</t>
  </si>
  <si>
    <t>5.8 (30.9%)</t>
  </si>
  <si>
    <t>0.6</t>
  </si>
  <si>
    <t>5.9</t>
  </si>
  <si>
    <t>42.8</t>
  </si>
  <si>
    <t>43.8 (53.2%)</t>
  </si>
  <si>
    <t>31.1 (50.5%)</t>
  </si>
  <si>
    <t>12.6 (61.2%)</t>
  </si>
  <si>
    <t>100.3</t>
  </si>
  <si>
    <t>Áustria</t>
  </si>
  <si>
    <t>22</t>
  </si>
  <si>
    <t>0/5</t>
  </si>
  <si>
    <t>19/82</t>
  </si>
  <si>
    <t>3/25</t>
  </si>
  <si>
    <t>13.4</t>
  </si>
  <si>
    <t>64.3%</t>
  </si>
  <si>
    <t>448 (85.1%)</t>
  </si>
  <si>
    <t>184 (92.2%)</t>
  </si>
  <si>
    <t>264 (77.2%)</t>
  </si>
  <si>
    <t>19.3 (55%)</t>
  </si>
  <si>
    <t>4.6 (23.3%)</t>
  </si>
  <si>
    <t>47.9</t>
  </si>
  <si>
    <t>47.9 (48.6%)</t>
  </si>
  <si>
    <t>35 (48.4%)</t>
  </si>
  <si>
    <t>12.9 (49.3%)</t>
  </si>
  <si>
    <t>132.8</t>
  </si>
  <si>
    <t>22.4</t>
  </si>
  <si>
    <t>14.4</t>
  </si>
  <si>
    <t>Portugal</t>
  </si>
  <si>
    <t>20</t>
  </si>
  <si>
    <t>3/4</t>
  </si>
  <si>
    <t>1/4</t>
  </si>
  <si>
    <t>15/96</t>
  </si>
  <si>
    <t>5/54</t>
  </si>
  <si>
    <t>25</t>
  </si>
  <si>
    <t>8.3</t>
  </si>
  <si>
    <t>71.3%</t>
  </si>
  <si>
    <t>621 (91.7%)</t>
  </si>
  <si>
    <t>182 (95%)</t>
  </si>
  <si>
    <t>439 (86.9%)</t>
  </si>
  <si>
    <t>19.7 (67.4%)</t>
  </si>
  <si>
    <t>8.2 (29.7%)</t>
  </si>
  <si>
    <t>42.2</t>
  </si>
  <si>
    <t>39.3 (52%)</t>
  </si>
  <si>
    <t>25.7 (51.3%)</t>
  </si>
  <si>
    <t>13.7 (53.2%)</t>
  </si>
  <si>
    <t>104.3</t>
  </si>
  <si>
    <t>Inglaterra</t>
  </si>
  <si>
    <t>18/102</t>
  </si>
  <si>
    <t>2/49</t>
  </si>
  <si>
    <t>18.9</t>
  </si>
  <si>
    <t>7.9</t>
  </si>
  <si>
    <t>74.4%</t>
  </si>
  <si>
    <t>660 (92.1%)</t>
  </si>
  <si>
    <t>197 (96.7%)</t>
  </si>
  <si>
    <t>465 (87.3%)</t>
  </si>
  <si>
    <t>16.1 (68.3%)</t>
  </si>
  <si>
    <t>6 (25.3%)</t>
  </si>
  <si>
    <t>43.4</t>
  </si>
  <si>
    <t>41.9 (55.2%)</t>
  </si>
  <si>
    <t>31 (53.9%)</t>
  </si>
  <si>
    <t>10.9 (59.2%)</t>
  </si>
  <si>
    <t>104</t>
  </si>
  <si>
    <t>16.4</t>
  </si>
  <si>
    <t>Croácia</t>
  </si>
  <si>
    <t>26</t>
  </si>
  <si>
    <t>23/134</t>
  </si>
  <si>
    <t>1/46</t>
  </si>
  <si>
    <t>22.6</t>
  </si>
  <si>
    <t>8.5</t>
  </si>
  <si>
    <t>70%</t>
  </si>
  <si>
    <t>496 (88.1%)</t>
  </si>
  <si>
    <t>179 (93%)</t>
  </si>
  <si>
    <t>320 (81.2%)</t>
  </si>
  <si>
    <t>23.8 (64.8%)</t>
  </si>
  <si>
    <t>7.6 (25.2%)</t>
  </si>
  <si>
    <t>12.1</t>
  </si>
  <si>
    <t>19.5</t>
  </si>
  <si>
    <t>47.4</t>
  </si>
  <si>
    <t>48.8 (54.9%)</t>
  </si>
  <si>
    <t>30.9 (54.9%)</t>
  </si>
  <si>
    <t>17.9 (55%)</t>
  </si>
  <si>
    <t>122.3</t>
  </si>
  <si>
    <t>19.1</t>
  </si>
  <si>
    <t>Brasil</t>
  </si>
  <si>
    <t>24</t>
  </si>
  <si>
    <t>17</t>
  </si>
  <si>
    <t>3/5</t>
  </si>
  <si>
    <t>1/14</t>
  </si>
  <si>
    <t>19/135</t>
  </si>
  <si>
    <t>5/80</t>
  </si>
  <si>
    <t>11.9</t>
  </si>
  <si>
    <t>7.8</t>
  </si>
  <si>
    <t>5.1</t>
  </si>
  <si>
    <t>62.1%</t>
  </si>
  <si>
    <t>461 (88.6%)</t>
  </si>
  <si>
    <t>244 (94%)</t>
  </si>
  <si>
    <t>221 (80.1%)</t>
  </si>
  <si>
    <t>17.9 (62.1%)</t>
  </si>
  <si>
    <t>3.4 (23.4%)</t>
  </si>
  <si>
    <t>12.8</t>
  </si>
  <si>
    <t>44.9</t>
  </si>
  <si>
    <t>49.1 (52.5%)</t>
  </si>
  <si>
    <t>36.6 (51.6%)</t>
  </si>
  <si>
    <t>12.5 (55.4%)</t>
  </si>
  <si>
    <t>107.7</t>
  </si>
  <si>
    <t>16.8</t>
  </si>
  <si>
    <t>Paraguai</t>
  </si>
  <si>
    <t>0/7</t>
  </si>
  <si>
    <t>11/115</t>
  </si>
  <si>
    <t>3/83</t>
  </si>
  <si>
    <t>37.9%</t>
  </si>
  <si>
    <t>200 (72.2%)</t>
  </si>
  <si>
    <t>94 (83.4%)</t>
  </si>
  <si>
    <t>109 (61%)</t>
  </si>
  <si>
    <t>15.7 (43.6%)</t>
  </si>
  <si>
    <t>3.8 (24.5%)</t>
  </si>
  <si>
    <t>46.4</t>
  </si>
  <si>
    <t>52.9 (50.6%)</t>
  </si>
  <si>
    <t>35.1 (50.1%)</t>
  </si>
  <si>
    <t>17.8 (51.8%)</t>
  </si>
  <si>
    <t>128.1</t>
  </si>
  <si>
    <t>20.3</t>
  </si>
  <si>
    <t>13.7</t>
  </si>
  <si>
    <t>Equador</t>
  </si>
  <si>
    <t>2/4</t>
  </si>
  <si>
    <t>0/15</t>
  </si>
  <si>
    <t>12/103</t>
  </si>
  <si>
    <t>2/89</t>
  </si>
  <si>
    <t>2.9</t>
  </si>
  <si>
    <t>52.4%</t>
  </si>
  <si>
    <t>362 (84.3%)</t>
  </si>
  <si>
    <t>182 (90.5%)</t>
  </si>
  <si>
    <t>182 (75.7%)</t>
  </si>
  <si>
    <t>20.6 (54%)</t>
  </si>
  <si>
    <t>2.6 (19.7%)</t>
  </si>
  <si>
    <t>14.3</t>
  </si>
  <si>
    <t>49.5</t>
  </si>
  <si>
    <t>44.6 (48.7%)</t>
  </si>
  <si>
    <t>32.7 (48.6%)</t>
  </si>
  <si>
    <t>11.9 (48.9%)</t>
  </si>
  <si>
    <t>117.9</t>
  </si>
  <si>
    <t>18.2</t>
  </si>
  <si>
    <t>Uruguai</t>
  </si>
  <si>
    <t>0/10</t>
  </si>
  <si>
    <t>17/115</t>
  </si>
  <si>
    <t>3/73</t>
  </si>
  <si>
    <t>12.4</t>
  </si>
  <si>
    <t>52.7%</t>
  </si>
  <si>
    <t>352 (82.2%)</t>
  </si>
  <si>
    <t>187 (90.5%)</t>
  </si>
  <si>
    <t>169 (70.8%)</t>
  </si>
  <si>
    <t>20.3 (52.5%)</t>
  </si>
  <si>
    <t>3.3 (20.4%)</t>
  </si>
  <si>
    <t>17.8</t>
  </si>
  <si>
    <t>52.6</t>
  </si>
  <si>
    <t>50.9 (51.8%)</t>
  </si>
  <si>
    <t>39.2 (52.5%)</t>
  </si>
  <si>
    <t>11.7 (49.5%)</t>
  </si>
  <si>
    <t>127.4</t>
  </si>
  <si>
    <t>13.2</t>
  </si>
  <si>
    <t>Argentina</t>
  </si>
  <si>
    <t>31</t>
  </si>
  <si>
    <t>1/12</t>
  </si>
  <si>
    <t>28/129</t>
  </si>
  <si>
    <t>3/84</t>
  </si>
  <si>
    <t>11.8</t>
  </si>
  <si>
    <t>4.7</t>
  </si>
  <si>
    <t>15.6</t>
  </si>
  <si>
    <t>63.9%</t>
  </si>
  <si>
    <t>537 (88.6%)</t>
  </si>
  <si>
    <t>279 (93.6%)</t>
  </si>
  <si>
    <t>261 (81.8%)</t>
  </si>
  <si>
    <t>23.4 (64.9%)</t>
  </si>
  <si>
    <t>2.9 (26.9%)</t>
  </si>
  <si>
    <t>47.6 (54%)</t>
  </si>
  <si>
    <t>37.6 (54%)</t>
  </si>
  <si>
    <t>10 (54.1%)</t>
  </si>
  <si>
    <t>112.4</t>
  </si>
  <si>
    <t>16.2</t>
  </si>
  <si>
    <t>Colômbia</t>
  </si>
  <si>
    <t>28</t>
  </si>
  <si>
    <t>1/8</t>
  </si>
  <si>
    <t>26/167</t>
  </si>
  <si>
    <t>2/80</t>
  </si>
  <si>
    <t>11.6</t>
  </si>
  <si>
    <t>56.8%</t>
  </si>
  <si>
    <t>374 (85.6%)</t>
  </si>
  <si>
    <t>181 (91.3%)</t>
  </si>
  <si>
    <t>197 (77.5%)</t>
  </si>
  <si>
    <t>20.8 (56.6%)</t>
  </si>
  <si>
    <t>4.8 (28.9%)</t>
  </si>
  <si>
    <t>14.1</t>
  </si>
  <si>
    <t>45 (48.9%)</t>
  </si>
  <si>
    <t>32.7 (47.6%)</t>
  </si>
  <si>
    <t>12.3 (52.7%)</t>
  </si>
  <si>
    <t>111.6</t>
  </si>
  <si>
    <t>África do Sul</t>
  </si>
  <si>
    <t>0/2</t>
  </si>
  <si>
    <t>5/33</t>
  </si>
  <si>
    <t>1/29</t>
  </si>
  <si>
    <t>15.5</t>
  </si>
  <si>
    <t>14.8</t>
  </si>
  <si>
    <t>63.5%</t>
  </si>
  <si>
    <t>428 (85.5%)</t>
  </si>
  <si>
    <t>214 (93%)</t>
  </si>
  <si>
    <t>214 (79.1%)</t>
  </si>
  <si>
    <t>20.8 (52.5%)</t>
  </si>
  <si>
    <t>3.8 (20.8%)</t>
  </si>
  <si>
    <t>13.8</t>
  </si>
  <si>
    <t>21.3</t>
  </si>
  <si>
    <t>40.3</t>
  </si>
  <si>
    <t>47 (50.5%)</t>
  </si>
  <si>
    <t>32.5 (50.4%)</t>
  </si>
  <si>
    <t>14.5 (50.9%)</t>
  </si>
  <si>
    <t>122</t>
  </si>
  <si>
    <t>Marrocos</t>
  </si>
  <si>
    <t>1/3</t>
  </si>
  <si>
    <t>9/74</t>
  </si>
  <si>
    <t>15.4</t>
  </si>
  <si>
    <t>7.1</t>
  </si>
  <si>
    <t>21.4</t>
  </si>
  <si>
    <t>57.1%</t>
  </si>
  <si>
    <t>414 (85.2%)</t>
  </si>
  <si>
    <t>188 (91.8%)</t>
  </si>
  <si>
    <t>226 (80.4%)</t>
  </si>
  <si>
    <t>21.6 (51.5%)</t>
  </si>
  <si>
    <t>5.6 (24.2%)</t>
  </si>
  <si>
    <t>19.7</t>
  </si>
  <si>
    <t>45.3</t>
  </si>
  <si>
    <t>62.1 (51.5%)</t>
  </si>
  <si>
    <t>47.3 (52.9%)</t>
  </si>
  <si>
    <t>14.9 (47.7%)</t>
  </si>
  <si>
    <t>128.9</t>
  </si>
  <si>
    <t>22.1</t>
  </si>
  <si>
    <t>17.3</t>
  </si>
  <si>
    <t>Costa do Marfim</t>
  </si>
  <si>
    <t>8/59</t>
  </si>
  <si>
    <t>1/24</t>
  </si>
  <si>
    <t>16.6</t>
  </si>
  <si>
    <t>60.2%</t>
  </si>
  <si>
    <t>447 (89.8%)</t>
  </si>
  <si>
    <t>217 (95.4%)</t>
  </si>
  <si>
    <t>229 (85%)</t>
  </si>
  <si>
    <t>15.6 (58.6%)</t>
  </si>
  <si>
    <t>7.2 (28.1%)</t>
  </si>
  <si>
    <t>17.6</t>
  </si>
  <si>
    <t>44.6</t>
  </si>
  <si>
    <t>50 (50.7%)</t>
  </si>
  <si>
    <t>35.4 (48%)</t>
  </si>
  <si>
    <t>14.6 (58.9%)</t>
  </si>
  <si>
    <t>102.2</t>
  </si>
  <si>
    <t>Tunísia</t>
  </si>
  <si>
    <t>7/27</t>
  </si>
  <si>
    <t>10.5</t>
  </si>
  <si>
    <t>56.3%</t>
  </si>
  <si>
    <t>388 (83.4%)</t>
  </si>
  <si>
    <t>187 (90.8%)</t>
  </si>
  <si>
    <t>201 (77.6%)</t>
  </si>
  <si>
    <t>15.8 (50.8%)</t>
  </si>
  <si>
    <t>5.5 (25.3%)</t>
  </si>
  <si>
    <t>50.5</t>
  </si>
  <si>
    <t>50 (46.5%)</t>
  </si>
  <si>
    <t>36.5 (44.8%)</t>
  </si>
  <si>
    <t>13.5 (51.9%)</t>
  </si>
  <si>
    <t>141.8</t>
  </si>
  <si>
    <t>18.3</t>
  </si>
  <si>
    <t>Egito</t>
  </si>
  <si>
    <t>7/45</t>
  </si>
  <si>
    <t>2/27</t>
  </si>
  <si>
    <t>49.1%</t>
  </si>
  <si>
    <t>356 (81.2%)</t>
  </si>
  <si>
    <t>189 (89%)</t>
  </si>
  <si>
    <t>167 (73.9%)</t>
  </si>
  <si>
    <t>21.6 (47.5%)</t>
  </si>
  <si>
    <t>3.1 (23.2%)</t>
  </si>
  <si>
    <t>35.1</t>
  </si>
  <si>
    <t>52.3</t>
  </si>
  <si>
    <t>57.7 (53.4%)</t>
  </si>
  <si>
    <t>42.3 (53.1%)</t>
  </si>
  <si>
    <t>15.4 (54%)</t>
  </si>
  <si>
    <t>133.4</t>
  </si>
  <si>
    <t>19.6</t>
  </si>
  <si>
    <t>Cabo Verde</t>
  </si>
  <si>
    <t>Senegal</t>
  </si>
  <si>
    <t>11/70</t>
  </si>
  <si>
    <t>2/38</t>
  </si>
  <si>
    <t>61.1%</t>
  </si>
  <si>
    <t>439 (86.3%)</t>
  </si>
  <si>
    <t>201 (93%)</t>
  </si>
  <si>
    <t>238 (81.3%)</t>
  </si>
  <si>
    <t>19.7 (56.8%)</t>
  </si>
  <si>
    <t>4.1 (20.6%)</t>
  </si>
  <si>
    <t>21.6</t>
  </si>
  <si>
    <t>48</t>
  </si>
  <si>
    <t>51.6 (49.5%)</t>
  </si>
  <si>
    <t>34.9 (47.4%)</t>
  </si>
  <si>
    <t>16.7 (54.4%)</t>
  </si>
  <si>
    <t>124.3</t>
  </si>
  <si>
    <t>Argélia</t>
  </si>
  <si>
    <t>8/43</t>
  </si>
  <si>
    <t>0/12</t>
  </si>
  <si>
    <t>5.4</t>
  </si>
  <si>
    <t>382 (85.6%)</t>
  </si>
  <si>
    <t>233 (92.8%)</t>
  </si>
  <si>
    <t>148 (76.2%)</t>
  </si>
  <si>
    <t>15.8 (44.6%)</t>
  </si>
  <si>
    <t>3 (18.3%)</t>
  </si>
  <si>
    <t>50.8</t>
  </si>
  <si>
    <t>48.4 (48.1%)</t>
  </si>
  <si>
    <t>38.4 (48%)</t>
  </si>
  <si>
    <t>10 (48.5%)</t>
  </si>
  <si>
    <t>110.6</t>
  </si>
  <si>
    <t>RD Congo</t>
  </si>
  <si>
    <t>47%</t>
  </si>
  <si>
    <t>388 (77.8%)</t>
  </si>
  <si>
    <t>197 (92.1%)</t>
  </si>
  <si>
    <t>191 (67%)</t>
  </si>
  <si>
    <t>22 (36.1%)</t>
  </si>
  <si>
    <t>3 (18.8%)</t>
  </si>
  <si>
    <t>70</t>
  </si>
  <si>
    <t>65 (48.9%)</t>
  </si>
  <si>
    <t>46 (47.9%)</t>
  </si>
  <si>
    <t>19 (51.4%)</t>
  </si>
  <si>
    <t>185</t>
  </si>
  <si>
    <t>Gana</t>
  </si>
  <si>
    <t>Catar</t>
  </si>
  <si>
    <t>1/25</t>
  </si>
  <si>
    <t>61.3%</t>
  </si>
  <si>
    <t>428 (85.4%)</t>
  </si>
  <si>
    <t>221 (91.9%)</t>
  </si>
  <si>
    <t>202 (77.5%)</t>
  </si>
  <si>
    <t>26.7 (60.6%)</t>
  </si>
  <si>
    <t>6.7 (28.2%)</t>
  </si>
  <si>
    <t>15.7</t>
  </si>
  <si>
    <t>38.3</t>
  </si>
  <si>
    <t>51 (60.5%)</t>
  </si>
  <si>
    <t>32 (61.5%)</t>
  </si>
  <si>
    <t>19 (58.8%)</t>
  </si>
  <si>
    <t>Austrália</t>
  </si>
  <si>
    <t>8/48</t>
  </si>
  <si>
    <t>0/18</t>
  </si>
  <si>
    <t>53.6%</t>
  </si>
  <si>
    <t>442 (82%)</t>
  </si>
  <si>
    <t>227 (92.1%)</t>
  </si>
  <si>
    <t>221 (70.5%)</t>
  </si>
  <si>
    <t>24.6 (52.3%)</t>
  </si>
  <si>
    <t>6.4 (29.9%)</t>
  </si>
  <si>
    <t>59.4</t>
  </si>
  <si>
    <t>62.2 (54.9%)</t>
  </si>
  <si>
    <t>42.2 (53.1%)</t>
  </si>
  <si>
    <t>20 (58.8%)</t>
  </si>
  <si>
    <t>156</t>
  </si>
  <si>
    <t>24.6</t>
  </si>
  <si>
    <t>Japão</t>
  </si>
  <si>
    <t>10/46</t>
  </si>
  <si>
    <t>1/19</t>
  </si>
  <si>
    <t>62.4%</t>
  </si>
  <si>
    <t>494 (83.3%)</t>
  </si>
  <si>
    <t>243 (91.6%)</t>
  </si>
  <si>
    <t>255 (73.7%)</t>
  </si>
  <si>
    <t>15.4 (41.4%)</t>
  </si>
  <si>
    <t>3.4 (19.5%)</t>
  </si>
  <si>
    <t>57.8</t>
  </si>
  <si>
    <t>55 (50.6%)</t>
  </si>
  <si>
    <t>34.4 (48.7%)</t>
  </si>
  <si>
    <t>20.6 (53.9%)</t>
  </si>
  <si>
    <t>152.8</t>
  </si>
  <si>
    <t>13.6</t>
  </si>
  <si>
    <t>Irã</t>
  </si>
  <si>
    <t>3/3</t>
  </si>
  <si>
    <t>12/64</t>
  </si>
  <si>
    <t>0/37</t>
  </si>
  <si>
    <t>58.3%</t>
  </si>
  <si>
    <t>401 (79.4%)</t>
  </si>
  <si>
    <t>235 (89.9%)</t>
  </si>
  <si>
    <t>170 (64.6%)</t>
  </si>
  <si>
    <t>27.3 (48.8%)</t>
  </si>
  <si>
    <t>4.8 (23.4%)</t>
  </si>
  <si>
    <t>58.2</t>
  </si>
  <si>
    <t>57.3 (52%)</t>
  </si>
  <si>
    <t>33.2 (51.3%)</t>
  </si>
  <si>
    <t>24.2 (53.1%)</t>
  </si>
  <si>
    <t>158.2</t>
  </si>
  <si>
    <t>Arábia Saudita</t>
  </si>
  <si>
    <t>4/47</t>
  </si>
  <si>
    <t>62.8%</t>
  </si>
  <si>
    <t>538 (86.3%)</t>
  </si>
  <si>
    <t>201 (90.3%)</t>
  </si>
  <si>
    <t>344 (81%)</t>
  </si>
  <si>
    <t>17.5 (51.5%)</t>
  </si>
  <si>
    <t>6.8 (28.7%)</t>
  </si>
  <si>
    <t>57.5</t>
  </si>
  <si>
    <t>55 (55.3%)</t>
  </si>
  <si>
    <t>37 (54%)</t>
  </si>
  <si>
    <t>18 (58.1%)</t>
  </si>
  <si>
    <t>140.8</t>
  </si>
  <si>
    <t>23</t>
  </si>
  <si>
    <t>Iraque</t>
  </si>
  <si>
    <t>10/44</t>
  </si>
  <si>
    <t>53.3%</t>
  </si>
  <si>
    <t>367 (81.4%)</t>
  </si>
  <si>
    <t>201 (91.1%)</t>
  </si>
  <si>
    <t>173 (68.9%)</t>
  </si>
  <si>
    <t>21.5 (45.5%)</t>
  </si>
  <si>
    <t>6 (30.8%)</t>
  </si>
  <si>
    <t>54.3</t>
  </si>
  <si>
    <t>61.5 (52.8%)</t>
  </si>
  <si>
    <t>42.5 (53.8%)</t>
  </si>
  <si>
    <t>19 (50.7%)</t>
  </si>
  <si>
    <t>148.5</t>
  </si>
  <si>
    <t>Jordânia</t>
  </si>
  <si>
    <t>6/53</t>
  </si>
  <si>
    <t>5/42</t>
  </si>
  <si>
    <t>46%</t>
  </si>
  <si>
    <t>304 (76.1%)</t>
  </si>
  <si>
    <t>182 (87.5%)</t>
  </si>
  <si>
    <t>125 (61%)</t>
  </si>
  <si>
    <t>20.6 (38.2%)</t>
  </si>
  <si>
    <t>3.3 (24%)</t>
  </si>
  <si>
    <t>56</t>
  </si>
  <si>
    <t>54.9 (48.6%)</t>
  </si>
  <si>
    <t>38.9 (47.9%)</t>
  </si>
  <si>
    <t>16 (50.5%)</t>
  </si>
  <si>
    <t>151.4</t>
  </si>
  <si>
    <t>Uzbequistão</t>
  </si>
  <si>
    <t>6/40</t>
  </si>
  <si>
    <t>1/28</t>
  </si>
  <si>
    <t>49.6%</t>
  </si>
  <si>
    <t>393 (77.8%)</t>
  </si>
  <si>
    <t>180 (86.9%)</t>
  </si>
  <si>
    <t>217 (69.6%)</t>
  </si>
  <si>
    <t>26.2 (50.2%)</t>
  </si>
  <si>
    <t>4.8 (31.6%)</t>
  </si>
  <si>
    <t>15.8</t>
  </si>
  <si>
    <t>19.8</t>
  </si>
  <si>
    <t>61.2</t>
  </si>
  <si>
    <t>56.8 (46.4%)</t>
  </si>
  <si>
    <t>35.2 (45.8%)</t>
  </si>
  <si>
    <t>21.6 (47.4%)</t>
  </si>
  <si>
    <t>171</t>
  </si>
  <si>
    <t>14.6</t>
  </si>
  <si>
    <t>México</t>
  </si>
  <si>
    <t>9/49</t>
  </si>
  <si>
    <t>0/35</t>
  </si>
  <si>
    <t>61.2%</t>
  </si>
  <si>
    <t>465 (86.7%)</t>
  </si>
  <si>
    <t>231 (92.7%)</t>
  </si>
  <si>
    <t>239 (78.3%)</t>
  </si>
  <si>
    <t>19.2 (51.1%)</t>
  </si>
  <si>
    <t>4.3 (25%)</t>
  </si>
  <si>
    <t>23.7</t>
  </si>
  <si>
    <t>44</t>
  </si>
  <si>
    <t>52 (51.1%)</t>
  </si>
  <si>
    <t>39.3 (51.4%)</t>
  </si>
  <si>
    <t>12.7 (50%)</t>
  </si>
  <si>
    <t>118.3</t>
  </si>
  <si>
    <t>13.5</t>
  </si>
  <si>
    <t>Canadá</t>
  </si>
  <si>
    <t>9/31</t>
  </si>
  <si>
    <t>11.3</t>
  </si>
  <si>
    <t>302 (81.8%)</t>
  </si>
  <si>
    <t>104 (90.8%)</t>
  </si>
  <si>
    <t>202 (72.7%)</t>
  </si>
  <si>
    <t>10.5 (47.7%)</t>
  </si>
  <si>
    <t>3.3 (14.6%)</t>
  </si>
  <si>
    <t>48.5</t>
  </si>
  <si>
    <t>54.3 (54.8%)</t>
  </si>
  <si>
    <t>37.3 (54.2%)</t>
  </si>
  <si>
    <t>17 (56.2%)</t>
  </si>
  <si>
    <t>126.3</t>
  </si>
  <si>
    <t>Haiti</t>
  </si>
  <si>
    <t>Curaçao</t>
  </si>
  <si>
    <t>Panamá</t>
  </si>
  <si>
    <t>Estados Unidos</t>
  </si>
  <si>
    <t>12/58</t>
  </si>
  <si>
    <t>1/23</t>
  </si>
  <si>
    <t>59.5%</t>
  </si>
  <si>
    <t>426 (86.6%)</t>
  </si>
  <si>
    <t>236 (93.5%)</t>
  </si>
  <si>
    <t>195 (77.3%)</t>
  </si>
  <si>
    <t>22.8 (60.4%)</t>
  </si>
  <si>
    <t>4.2 (34.2%)</t>
  </si>
  <si>
    <t>41.7</t>
  </si>
  <si>
    <t>48 (53.9%)</t>
  </si>
  <si>
    <t>34.5 (51.5%)</t>
  </si>
  <si>
    <t>13.5 (61.4%)</t>
  </si>
  <si>
    <t>109.3</t>
  </si>
  <si>
    <t>11.5</t>
  </si>
  <si>
    <t>Republica Tcheca</t>
  </si>
  <si>
    <t>18/115</t>
  </si>
  <si>
    <t>3/47</t>
  </si>
  <si>
    <t>9.4</t>
  </si>
  <si>
    <t>55.3%</t>
  </si>
  <si>
    <t>365 (80.1%)</t>
  </si>
  <si>
    <t>146 (87.6%)</t>
  </si>
  <si>
    <t>219 (71.7%)</t>
  </si>
  <si>
    <t>20.2 (49%)</t>
  </si>
  <si>
    <t>8.1 (28.5%)</t>
  </si>
  <si>
    <t>27.3</t>
  </si>
  <si>
    <t>53.3</t>
  </si>
  <si>
    <t>54.1 (50.2%)</t>
  </si>
  <si>
    <t>30.3 (47.7%)</t>
  </si>
  <si>
    <t>23.8 (53.7%)</t>
  </si>
  <si>
    <t>148.7</t>
  </si>
  <si>
    <t>22.7</t>
  </si>
  <si>
    <t>Nova Zelandia</t>
  </si>
  <si>
    <t>4/14</t>
  </si>
  <si>
    <t>1/10</t>
  </si>
  <si>
    <t>42.7%</t>
  </si>
  <si>
    <t>240 (79.4%)</t>
  </si>
  <si>
    <t>131 (86.9%)</t>
  </si>
  <si>
    <t>112 (68%)</t>
  </si>
  <si>
    <t>11.3 (42.5%)</t>
  </si>
  <si>
    <t>2.7 (21.1%)</t>
  </si>
  <si>
    <t>23.3</t>
  </si>
  <si>
    <t>46</t>
  </si>
  <si>
    <t>48.3 (42.8%)</t>
  </si>
  <si>
    <t>37.7 (43.6%)</t>
  </si>
  <si>
    <t>10.7 (40%)</t>
  </si>
  <si>
    <t>115</t>
  </si>
  <si>
    <t>0/11</t>
  </si>
  <si>
    <t>67%</t>
  </si>
  <si>
    <t>488 (82.9%)</t>
  </si>
  <si>
    <t>222 (92.9%)</t>
  </si>
  <si>
    <t>276 (73%)</t>
  </si>
  <si>
    <t>25 (58.1%)</t>
  </si>
  <si>
    <t>10 (35.7%)</t>
  </si>
  <si>
    <t>49 (43.8%)</t>
  </si>
  <si>
    <t>29 (41.4%)</t>
  </si>
  <si>
    <t>20 (47.6%)</t>
  </si>
  <si>
    <t>165</t>
  </si>
  <si>
    <t>1/7</t>
  </si>
  <si>
    <t>6/39</t>
  </si>
  <si>
    <t>2/36</t>
  </si>
  <si>
    <t>53.8%</t>
  </si>
  <si>
    <t>356 (82%)</t>
  </si>
  <si>
    <t>203 (90.6%)</t>
  </si>
  <si>
    <t>156 (69.5%)</t>
  </si>
  <si>
    <t>21.8 (52.2%)</t>
  </si>
  <si>
    <t>3 (20.8%)</t>
  </si>
  <si>
    <t>19.2</t>
  </si>
  <si>
    <t>53</t>
  </si>
  <si>
    <t>57 (50.1%)</t>
  </si>
  <si>
    <t>43.8 (50.8%)</t>
  </si>
  <si>
    <t>13.2 (47.8%)</t>
  </si>
  <si>
    <t>132.4</t>
  </si>
  <si>
    <t>2/17</t>
  </si>
  <si>
    <t>0/20</t>
  </si>
  <si>
    <t>46.3%</t>
  </si>
  <si>
    <t>236 (76.1%)</t>
  </si>
  <si>
    <t>126 (87.1%)</t>
  </si>
  <si>
    <t>113 (61.3%)</t>
  </si>
  <si>
    <t>15.3 (51.1%)</t>
  </si>
  <si>
    <t>2.7 (14.8%)</t>
  </si>
  <si>
    <t>45</t>
  </si>
  <si>
    <t>51.7 (52.4%)</t>
  </si>
  <si>
    <t>36.3 (49.8%)</t>
  </si>
  <si>
    <t>15.3 (59.7%)</t>
  </si>
  <si>
    <t>133.7</t>
  </si>
  <si>
    <t>1/17</t>
  </si>
  <si>
    <t>53.7%</t>
  </si>
  <si>
    <t>326 (80.1%)</t>
  </si>
  <si>
    <t>210 (89.7%)</t>
  </si>
  <si>
    <t>119 (64.1%)</t>
  </si>
  <si>
    <t>25 (49%)</t>
  </si>
  <si>
    <t>2.3 (20%)</t>
  </si>
  <si>
    <t>47</t>
  </si>
  <si>
    <t>48.7 (49.3%)</t>
  </si>
  <si>
    <t>34.3 (47.5%)</t>
  </si>
  <si>
    <t>14.3 (54.4%)</t>
  </si>
  <si>
    <t>136.7</t>
  </si>
  <si>
    <t>10/42</t>
  </si>
  <si>
    <t>66%</t>
  </si>
  <si>
    <t>561 (89.8%)</t>
  </si>
  <si>
    <t>329 (94.9%)</t>
  </si>
  <si>
    <t>236 (80.2%)</t>
  </si>
  <si>
    <t>28.8 (65%)</t>
  </si>
  <si>
    <t>4 (25%)</t>
  </si>
  <si>
    <t>39.3 (51.3%)</t>
  </si>
  <si>
    <t>30.8 (54.9%)</t>
  </si>
  <si>
    <t>8.5 (41.5%)</t>
  </si>
  <si>
    <t>105.8</t>
  </si>
  <si>
    <t>7/67</t>
  </si>
  <si>
    <t>3/30</t>
  </si>
  <si>
    <t>8.7</t>
  </si>
  <si>
    <t>69.8%</t>
  </si>
  <si>
    <t>655 (87.3%)</t>
  </si>
  <si>
    <t>313 (92.3%)</t>
  </si>
  <si>
    <t>350 (79.4%)</t>
  </si>
  <si>
    <t>26.3 (50.2%)</t>
  </si>
  <si>
    <t>7.8 (26.4%)</t>
  </si>
  <si>
    <t>61.5</t>
  </si>
  <si>
    <t>52.5 (47.7%)</t>
  </si>
  <si>
    <t>36.8 (47.7%)</t>
  </si>
  <si>
    <t>15.7 (47.5%)</t>
  </si>
  <si>
    <t>161.5</t>
  </si>
  <si>
    <t>27.5</t>
  </si>
  <si>
    <t>Coréia do Sul</t>
  </si>
  <si>
    <t>Continente</t>
  </si>
  <si>
    <t>UEFA</t>
  </si>
  <si>
    <t>CONMEBOL</t>
  </si>
  <si>
    <t>CAF</t>
  </si>
  <si>
    <t>AFC</t>
  </si>
  <si>
    <t>CONCACAF</t>
  </si>
  <si>
    <t>OFC</t>
  </si>
  <si>
    <t>Confederação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</si>
</sst>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49"/>
  <sheetViews>
    <sheetView tabSelected="1" workbookViewId="0">
      <selection activeCell="C5" sqref="C5"/>
    </sheetView>
  </sheetViews>
  <sheetFormatPr defaultRowHeight="15" x14ac:dyDescent="0.25"/>
  <cols>
    <col min="1" max="1" width="20.140625" bestFit="1" customWidth="1"/>
    <col min="2" max="3" width="18.5703125" customWidth="1"/>
    <col min="4" max="4" width="9.7109375" bestFit="1" customWidth="1"/>
    <col min="5" max="5" width="15.28515625" bestFit="1" customWidth="1"/>
    <col min="6" max="6" width="13.7109375" bestFit="1" customWidth="1"/>
    <col min="7" max="7" width="12.85546875" bestFit="1" customWidth="1"/>
    <col min="8" max="8" width="16.28515625" bestFit="1" customWidth="1"/>
    <col min="9" max="9" width="15.28515625" bestFit="1" customWidth="1"/>
    <col min="10" max="10" width="13.42578125" bestFit="1" customWidth="1"/>
    <col min="11" max="11" width="21.85546875" bestFit="1" customWidth="1"/>
    <col min="12" max="12" width="19.85546875" bestFit="1" customWidth="1"/>
    <col min="13" max="13" width="25.5703125" bestFit="1" customWidth="1"/>
    <col min="14" max="14" width="23.28515625" bestFit="1" customWidth="1"/>
    <col min="15" max="15" width="15.5703125" bestFit="1" customWidth="1"/>
    <col min="16" max="16" width="29.85546875" bestFit="1" customWidth="1"/>
    <col min="17" max="17" width="32" bestFit="1" customWidth="1"/>
    <col min="18" max="18" width="27.42578125" bestFit="1" customWidth="1"/>
    <col min="19" max="19" width="21.7109375" bestFit="1" customWidth="1"/>
    <col min="20" max="20" width="22.85546875" bestFit="1" customWidth="1"/>
    <col min="21" max="21" width="26.28515625" bestFit="1" customWidth="1"/>
    <col min="22" max="22" width="21.7109375" bestFit="1" customWidth="1"/>
    <col min="23" max="23" width="19.28515625" bestFit="1" customWidth="1"/>
    <col min="24" max="24" width="27.42578125" bestFit="1" customWidth="1"/>
    <col min="25" max="25" width="20.28515625" bestFit="1" customWidth="1"/>
    <col min="26" max="26" width="16" bestFit="1" customWidth="1"/>
    <col min="27" max="27" width="14.28515625" bestFit="1" customWidth="1"/>
    <col min="28" max="28" width="14.140625" bestFit="1" customWidth="1"/>
    <col min="29" max="29" width="23.85546875" bestFit="1" customWidth="1"/>
    <col min="30" max="30" width="25.7109375" bestFit="1" customWidth="1"/>
    <col min="31" max="31" width="13.28515625" bestFit="1" customWidth="1"/>
    <col min="32" max="32" width="19.7109375" bestFit="1" customWidth="1"/>
    <col min="33" max="33" width="20.7109375" bestFit="1" customWidth="1"/>
    <col min="34" max="34" width="21.28515625" bestFit="1" customWidth="1"/>
    <col min="35" max="35" width="18.5703125" bestFit="1" customWidth="1"/>
    <col min="36" max="36" width="22.85546875" bestFit="1" customWidth="1"/>
    <col min="37" max="37" width="15.85546875" bestFit="1" customWidth="1"/>
    <col min="38" max="38" width="17" bestFit="1" customWidth="1"/>
    <col min="39" max="39" width="25.7109375" bestFit="1" customWidth="1"/>
    <col min="40" max="40" width="29" bestFit="1" customWidth="1"/>
    <col min="41" max="41" width="23.7109375" bestFit="1" customWidth="1"/>
    <col min="42" max="42" width="18.7109375" bestFit="1" customWidth="1"/>
    <col min="43" max="43" width="25.28515625" bestFit="1" customWidth="1"/>
    <col min="44" max="44" width="21.28515625" bestFit="1" customWidth="1"/>
    <col min="45" max="45" width="25.28515625" bestFit="1" customWidth="1"/>
    <col min="46" max="46" width="20.85546875" bestFit="1" customWidth="1"/>
    <col min="47" max="47" width="23.7109375" bestFit="1" customWidth="1"/>
    <col min="48" max="48" width="21.28515625" bestFit="1" customWidth="1"/>
    <col min="49" max="49" width="29.5703125" bestFit="1" customWidth="1"/>
    <col min="50" max="50" width="17" bestFit="1" customWidth="1"/>
    <col min="51" max="51" width="21.7109375" bestFit="1" customWidth="1"/>
    <col min="52" max="52" width="22.28515625" bestFit="1" customWidth="1"/>
    <col min="53" max="53" width="15.28515625" bestFit="1" customWidth="1"/>
    <col min="54" max="54" width="27.28515625" bestFit="1" customWidth="1"/>
  </cols>
  <sheetData>
    <row r="1" spans="1:54" x14ac:dyDescent="0.25">
      <c r="A1" s="1" t="s">
        <v>0</v>
      </c>
      <c r="B1" s="1" t="s">
        <v>939</v>
      </c>
      <c r="C1" s="1" t="s">
        <v>946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  <c r="AH1" s="1" t="s">
        <v>31</v>
      </c>
      <c r="AI1" s="1" t="s">
        <v>32</v>
      </c>
      <c r="AJ1" s="1" t="s">
        <v>33</v>
      </c>
      <c r="AK1" s="1" t="s">
        <v>34</v>
      </c>
      <c r="AL1" s="1" t="s">
        <v>35</v>
      </c>
      <c r="AM1" s="1" t="s">
        <v>36</v>
      </c>
      <c r="AN1" s="1" t="s">
        <v>37</v>
      </c>
      <c r="AO1" s="1" t="s">
        <v>38</v>
      </c>
      <c r="AP1" s="1" t="s">
        <v>39</v>
      </c>
      <c r="AQ1" s="1" t="s">
        <v>40</v>
      </c>
      <c r="AR1" s="1" t="s">
        <v>41</v>
      </c>
      <c r="AS1" s="1" t="s">
        <v>42</v>
      </c>
      <c r="AT1" s="1" t="s">
        <v>43</v>
      </c>
      <c r="AU1" s="1" t="s">
        <v>44</v>
      </c>
      <c r="AV1" s="1" t="s">
        <v>45</v>
      </c>
      <c r="AW1" s="1" t="s">
        <v>46</v>
      </c>
      <c r="AX1" s="1" t="s">
        <v>47</v>
      </c>
      <c r="AY1" s="1" t="s">
        <v>48</v>
      </c>
      <c r="AZ1" s="1" t="s">
        <v>49</v>
      </c>
      <c r="BA1" s="1" t="s">
        <v>50</v>
      </c>
      <c r="BB1" s="1" t="s">
        <v>51</v>
      </c>
    </row>
    <row r="2" spans="1:54" x14ac:dyDescent="0.25">
      <c r="A2" t="s">
        <v>52</v>
      </c>
      <c r="B2" s="2" t="str" cm="1">
        <f t="array" ref="B2">_xlfn.IFS(C2 = "UEFA","Europa",C2= "CONMEBOL","América do Sul",C2= "CAF", "África",C2="AFC", "Ásia",C2="OFC", "Oceania",C2="CONCACAF","América Central e Norte")</f>
        <v>Europa</v>
      </c>
      <c r="C2" t="s">
        <v>940</v>
      </c>
      <c r="D2" t="s">
        <v>53</v>
      </c>
      <c r="E2" t="s">
        <v>54</v>
      </c>
      <c r="F2" t="s">
        <v>55</v>
      </c>
      <c r="G2" t="s">
        <v>56</v>
      </c>
      <c r="H2" t="s">
        <v>57</v>
      </c>
      <c r="I2" t="s">
        <v>58</v>
      </c>
      <c r="J2" t="s">
        <v>59</v>
      </c>
      <c r="K2" t="s">
        <v>60</v>
      </c>
      <c r="L2" t="s">
        <v>61</v>
      </c>
      <c r="M2" t="s">
        <v>62</v>
      </c>
      <c r="N2" t="s">
        <v>55</v>
      </c>
      <c r="O2" t="s">
        <v>63</v>
      </c>
      <c r="P2" t="s">
        <v>64</v>
      </c>
      <c r="Q2" t="s">
        <v>65</v>
      </c>
      <c r="R2" t="s">
        <v>66</v>
      </c>
      <c r="S2" t="s">
        <v>67</v>
      </c>
      <c r="T2" t="s">
        <v>68</v>
      </c>
      <c r="U2" t="s">
        <v>69</v>
      </c>
      <c r="V2" t="s">
        <v>70</v>
      </c>
      <c r="W2" t="s">
        <v>71</v>
      </c>
      <c r="X2" t="s">
        <v>72</v>
      </c>
      <c r="Y2" t="s">
        <v>73</v>
      </c>
      <c r="Z2" t="s">
        <v>56</v>
      </c>
      <c r="AA2" t="s">
        <v>74</v>
      </c>
      <c r="AB2" t="s">
        <v>75</v>
      </c>
      <c r="AC2" t="s">
        <v>76</v>
      </c>
      <c r="AD2" t="s">
        <v>77</v>
      </c>
      <c r="AE2" t="s">
        <v>78</v>
      </c>
      <c r="AF2" t="s">
        <v>79</v>
      </c>
      <c r="AG2" t="s">
        <v>80</v>
      </c>
      <c r="AH2" t="s">
        <v>81</v>
      </c>
      <c r="AI2" t="s">
        <v>82</v>
      </c>
      <c r="AJ2" t="s">
        <v>83</v>
      </c>
      <c r="AK2" t="s">
        <v>84</v>
      </c>
      <c r="AL2" t="s">
        <v>57</v>
      </c>
      <c r="AM2" t="s">
        <v>85</v>
      </c>
      <c r="AN2" t="s">
        <v>73</v>
      </c>
      <c r="AO2" t="s">
        <v>73</v>
      </c>
      <c r="AP2" t="s">
        <v>86</v>
      </c>
      <c r="AQ2" t="s">
        <v>86</v>
      </c>
      <c r="AR2" t="s">
        <v>58</v>
      </c>
      <c r="AS2" t="s">
        <v>58</v>
      </c>
      <c r="AT2" t="s">
        <v>87</v>
      </c>
      <c r="AU2" t="s">
        <v>88</v>
      </c>
      <c r="AV2" t="s">
        <v>89</v>
      </c>
      <c r="AW2" t="s">
        <v>90</v>
      </c>
      <c r="AX2" t="s">
        <v>91</v>
      </c>
      <c r="AY2" t="s">
        <v>92</v>
      </c>
      <c r="AZ2" t="s">
        <v>93</v>
      </c>
      <c r="BA2" t="s">
        <v>94</v>
      </c>
      <c r="BB2" t="s">
        <v>95</v>
      </c>
    </row>
    <row r="3" spans="1:54" x14ac:dyDescent="0.25">
      <c r="A3" t="s">
        <v>96</v>
      </c>
      <c r="B3" s="2" t="str" cm="1">
        <f t="array" ref="B3">_xlfn.IFS(C3 = "UEFA","Europa",C3= "CONMEBOL","América do Sul",C3= "CAF", "África",C3="AFC", "Ásia",C3="OFC", "Oceania",C3="CONCACAF","América Central e Norte")</f>
        <v>Europa</v>
      </c>
      <c r="C3" t="s">
        <v>940</v>
      </c>
      <c r="D3" t="s">
        <v>97</v>
      </c>
      <c r="E3" t="s">
        <v>82</v>
      </c>
      <c r="F3" t="s">
        <v>63</v>
      </c>
      <c r="G3" t="s">
        <v>98</v>
      </c>
      <c r="H3" t="s">
        <v>99</v>
      </c>
      <c r="I3" t="s">
        <v>100</v>
      </c>
      <c r="J3" t="s">
        <v>59</v>
      </c>
      <c r="K3" t="s">
        <v>101</v>
      </c>
      <c r="L3" t="s">
        <v>102</v>
      </c>
      <c r="M3" t="s">
        <v>97</v>
      </c>
      <c r="N3" t="s">
        <v>103</v>
      </c>
      <c r="O3" t="s">
        <v>80</v>
      </c>
      <c r="P3" t="s">
        <v>80</v>
      </c>
      <c r="Q3" t="s">
        <v>104</v>
      </c>
      <c r="R3" t="s">
        <v>105</v>
      </c>
      <c r="S3" t="s">
        <v>67</v>
      </c>
      <c r="T3" t="s">
        <v>106</v>
      </c>
      <c r="U3" t="s">
        <v>99</v>
      </c>
      <c r="V3" t="s">
        <v>107</v>
      </c>
      <c r="W3" t="s">
        <v>108</v>
      </c>
      <c r="X3" t="s">
        <v>109</v>
      </c>
      <c r="Y3" t="s">
        <v>86</v>
      </c>
      <c r="Z3" t="s">
        <v>103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73</v>
      </c>
      <c r="AH3" t="s">
        <v>116</v>
      </c>
      <c r="AI3" t="s">
        <v>82</v>
      </c>
      <c r="AJ3" t="s">
        <v>117</v>
      </c>
      <c r="AK3" t="s">
        <v>118</v>
      </c>
      <c r="AL3" t="s">
        <v>119</v>
      </c>
      <c r="AM3" t="s">
        <v>120</v>
      </c>
      <c r="AN3" t="s">
        <v>86</v>
      </c>
      <c r="AO3" t="s">
        <v>86</v>
      </c>
      <c r="AP3" t="s">
        <v>58</v>
      </c>
      <c r="AQ3" t="s">
        <v>58</v>
      </c>
      <c r="AR3" t="s">
        <v>58</v>
      </c>
      <c r="AS3" t="s">
        <v>86</v>
      </c>
      <c r="AT3" t="s">
        <v>121</v>
      </c>
      <c r="AU3" t="s">
        <v>122</v>
      </c>
      <c r="AV3" t="s">
        <v>123</v>
      </c>
      <c r="AW3" t="s">
        <v>124</v>
      </c>
      <c r="AX3" t="s">
        <v>125</v>
      </c>
      <c r="AY3" t="s">
        <v>107</v>
      </c>
      <c r="AZ3" t="s">
        <v>119</v>
      </c>
      <c r="BA3" t="s">
        <v>70</v>
      </c>
      <c r="BB3" t="s">
        <v>126</v>
      </c>
    </row>
    <row r="4" spans="1:54" x14ac:dyDescent="0.25">
      <c r="A4" t="s">
        <v>127</v>
      </c>
      <c r="B4" s="2" t="str" cm="1">
        <f t="array" ref="B4">_xlfn.IFS(C4 = "UEFA","Europa",C4= "CONMEBOL","América do Sul",C4= "CAF", "África",C4="AFC", "Ásia",C4="OFC", "Oceania",C4="CONCACAF","América Central e Norte")</f>
        <v>Europa</v>
      </c>
      <c r="C4" t="s">
        <v>940</v>
      </c>
      <c r="D4" t="s">
        <v>97</v>
      </c>
      <c r="E4" t="s">
        <v>128</v>
      </c>
      <c r="F4" t="s">
        <v>62</v>
      </c>
      <c r="G4" t="s">
        <v>62</v>
      </c>
      <c r="H4" t="s">
        <v>129</v>
      </c>
      <c r="I4" t="s">
        <v>58</v>
      </c>
      <c r="J4" t="s">
        <v>130</v>
      </c>
      <c r="K4" t="s">
        <v>131</v>
      </c>
      <c r="L4" t="s">
        <v>132</v>
      </c>
      <c r="M4" t="s">
        <v>97</v>
      </c>
      <c r="N4" t="s">
        <v>103</v>
      </c>
      <c r="O4" t="s">
        <v>86</v>
      </c>
      <c r="P4" t="s">
        <v>95</v>
      </c>
      <c r="Q4" t="s">
        <v>93</v>
      </c>
      <c r="R4" t="s">
        <v>133</v>
      </c>
      <c r="S4" t="s">
        <v>134</v>
      </c>
      <c r="T4" t="s">
        <v>135</v>
      </c>
      <c r="U4" t="s">
        <v>136</v>
      </c>
      <c r="V4" t="s">
        <v>137</v>
      </c>
      <c r="W4" t="s">
        <v>138</v>
      </c>
      <c r="X4" t="s">
        <v>109</v>
      </c>
      <c r="Y4" t="s">
        <v>63</v>
      </c>
      <c r="Z4" t="s">
        <v>103</v>
      </c>
      <c r="AA4" t="s">
        <v>139</v>
      </c>
      <c r="AB4" t="s">
        <v>140</v>
      </c>
      <c r="AC4" t="s">
        <v>141</v>
      </c>
      <c r="AD4" t="s">
        <v>142</v>
      </c>
      <c r="AE4" t="s">
        <v>143</v>
      </c>
      <c r="AF4" t="s">
        <v>144</v>
      </c>
      <c r="AG4" t="s">
        <v>63</v>
      </c>
      <c r="AH4" t="s">
        <v>145</v>
      </c>
      <c r="AI4" t="s">
        <v>56</v>
      </c>
      <c r="AJ4" t="s">
        <v>146</v>
      </c>
      <c r="AK4" t="s">
        <v>147</v>
      </c>
      <c r="AL4" t="s">
        <v>95</v>
      </c>
      <c r="AM4" t="s">
        <v>148</v>
      </c>
      <c r="AN4" t="s">
        <v>80</v>
      </c>
      <c r="AO4" t="s">
        <v>58</v>
      </c>
      <c r="AP4" t="s">
        <v>86</v>
      </c>
      <c r="AQ4" t="s">
        <v>86</v>
      </c>
      <c r="AR4" t="s">
        <v>58</v>
      </c>
      <c r="AS4" t="s">
        <v>58</v>
      </c>
      <c r="AT4" t="s">
        <v>149</v>
      </c>
      <c r="AU4" t="s">
        <v>150</v>
      </c>
      <c r="AV4" t="s">
        <v>151</v>
      </c>
      <c r="AW4" t="s">
        <v>152</v>
      </c>
      <c r="AX4" t="s">
        <v>153</v>
      </c>
      <c r="AY4" t="s">
        <v>154</v>
      </c>
      <c r="AZ4" t="s">
        <v>145</v>
      </c>
      <c r="BA4" t="s">
        <v>155</v>
      </c>
      <c r="BB4" t="s">
        <v>63</v>
      </c>
    </row>
    <row r="5" spans="1:54" x14ac:dyDescent="0.25">
      <c r="A5" t="s">
        <v>156</v>
      </c>
      <c r="B5" s="2" t="str" cm="1">
        <f t="array" ref="B5">_xlfn.IFS(C5 = "UEFA","Europa",C5= "CONMEBOL","América do Sul",C5= "CAF", "África",C5="AFC", "Ásia",C5="OFC", "Oceania",C5="CONCACAF","América Central e Norte")</f>
        <v>Europa</v>
      </c>
      <c r="C5" t="s">
        <v>940</v>
      </c>
      <c r="D5" t="s">
        <v>157</v>
      </c>
      <c r="E5" t="s">
        <v>54</v>
      </c>
      <c r="F5" t="s">
        <v>98</v>
      </c>
      <c r="G5" t="s">
        <v>128</v>
      </c>
      <c r="H5" t="s">
        <v>158</v>
      </c>
      <c r="I5" t="s">
        <v>159</v>
      </c>
      <c r="J5" t="s">
        <v>160</v>
      </c>
      <c r="K5" t="s">
        <v>161</v>
      </c>
      <c r="L5" t="s">
        <v>162</v>
      </c>
      <c r="M5" t="s">
        <v>80</v>
      </c>
      <c r="N5" t="s">
        <v>53</v>
      </c>
      <c r="O5" t="s">
        <v>73</v>
      </c>
      <c r="P5" t="s">
        <v>163</v>
      </c>
      <c r="Q5" t="s">
        <v>164</v>
      </c>
      <c r="R5" t="s">
        <v>165</v>
      </c>
      <c r="S5" t="s">
        <v>71</v>
      </c>
      <c r="T5" t="s">
        <v>166</v>
      </c>
      <c r="U5" t="s">
        <v>69</v>
      </c>
      <c r="V5" t="s">
        <v>167</v>
      </c>
      <c r="W5" t="s">
        <v>97</v>
      </c>
      <c r="X5" t="s">
        <v>105</v>
      </c>
      <c r="Y5" t="s">
        <v>80</v>
      </c>
      <c r="Z5" t="s">
        <v>82</v>
      </c>
      <c r="AA5" t="s">
        <v>168</v>
      </c>
      <c r="AB5" t="s">
        <v>169</v>
      </c>
      <c r="AC5" t="s">
        <v>170</v>
      </c>
      <c r="AD5" t="s">
        <v>171</v>
      </c>
      <c r="AE5" t="s">
        <v>172</v>
      </c>
      <c r="AF5" t="s">
        <v>173</v>
      </c>
      <c r="AG5" t="s">
        <v>80</v>
      </c>
      <c r="AH5" t="s">
        <v>104</v>
      </c>
      <c r="AI5" t="s">
        <v>174</v>
      </c>
      <c r="AJ5" t="s">
        <v>175</v>
      </c>
      <c r="AK5" t="s">
        <v>176</v>
      </c>
      <c r="AL5" t="s">
        <v>177</v>
      </c>
      <c r="AM5" t="s">
        <v>178</v>
      </c>
      <c r="AN5" t="s">
        <v>157</v>
      </c>
      <c r="AO5" t="s">
        <v>58</v>
      </c>
      <c r="AP5" t="s">
        <v>58</v>
      </c>
      <c r="AQ5" t="s">
        <v>58</v>
      </c>
      <c r="AR5" t="s">
        <v>86</v>
      </c>
      <c r="AS5" t="s">
        <v>63</v>
      </c>
      <c r="AT5" t="s">
        <v>179</v>
      </c>
      <c r="AU5" t="s">
        <v>180</v>
      </c>
      <c r="AV5" t="s">
        <v>181</v>
      </c>
      <c r="AW5" t="s">
        <v>182</v>
      </c>
      <c r="AX5" t="s">
        <v>54</v>
      </c>
      <c r="AY5" t="s">
        <v>68</v>
      </c>
      <c r="AZ5" t="s">
        <v>63</v>
      </c>
      <c r="BA5" t="s">
        <v>183</v>
      </c>
      <c r="BB5" t="s">
        <v>136</v>
      </c>
    </row>
    <row r="6" spans="1:54" x14ac:dyDescent="0.25">
      <c r="A6" t="s">
        <v>184</v>
      </c>
      <c r="B6" s="2" t="str" cm="1">
        <f t="array" ref="B6">_xlfn.IFS(C6 = "UEFA","Europa",C6= "CONMEBOL","América do Sul",C6= "CAF", "África",C6="AFC", "Ásia",C6="OFC", "Oceania",C6="CONCACAF","América Central e Norte")</f>
        <v>Europa</v>
      </c>
      <c r="C6" t="s">
        <v>940</v>
      </c>
      <c r="D6" t="s">
        <v>97</v>
      </c>
      <c r="E6" t="s">
        <v>66</v>
      </c>
      <c r="F6" t="s">
        <v>80</v>
      </c>
      <c r="G6" t="s">
        <v>56</v>
      </c>
      <c r="H6" t="s">
        <v>64</v>
      </c>
      <c r="I6" t="s">
        <v>159</v>
      </c>
      <c r="J6" t="s">
        <v>185</v>
      </c>
      <c r="K6" t="s">
        <v>186</v>
      </c>
      <c r="L6" t="s">
        <v>187</v>
      </c>
      <c r="M6" t="s">
        <v>97</v>
      </c>
      <c r="N6" t="s">
        <v>157</v>
      </c>
      <c r="O6" t="s">
        <v>86</v>
      </c>
      <c r="P6" t="s">
        <v>188</v>
      </c>
      <c r="Q6" t="s">
        <v>63</v>
      </c>
      <c r="R6" t="s">
        <v>189</v>
      </c>
      <c r="S6" t="s">
        <v>107</v>
      </c>
      <c r="T6" t="s">
        <v>62</v>
      </c>
      <c r="U6" t="s">
        <v>73</v>
      </c>
      <c r="V6" t="s">
        <v>190</v>
      </c>
      <c r="W6" t="s">
        <v>191</v>
      </c>
      <c r="X6" t="s">
        <v>192</v>
      </c>
      <c r="Y6" t="s">
        <v>80</v>
      </c>
      <c r="Z6" t="s">
        <v>97</v>
      </c>
      <c r="AA6" t="s">
        <v>193</v>
      </c>
      <c r="AB6" t="s">
        <v>194</v>
      </c>
      <c r="AC6" t="s">
        <v>195</v>
      </c>
      <c r="AD6" t="s">
        <v>196</v>
      </c>
      <c r="AE6" t="s">
        <v>197</v>
      </c>
      <c r="AF6" t="s">
        <v>198</v>
      </c>
      <c r="AG6" t="s">
        <v>73</v>
      </c>
      <c r="AH6" t="s">
        <v>199</v>
      </c>
      <c r="AI6" t="s">
        <v>200</v>
      </c>
      <c r="AJ6" t="s">
        <v>201</v>
      </c>
      <c r="AK6" t="s">
        <v>202</v>
      </c>
      <c r="AL6" t="s">
        <v>93</v>
      </c>
      <c r="AM6" t="s">
        <v>203</v>
      </c>
      <c r="AN6" t="s">
        <v>80</v>
      </c>
      <c r="AO6" t="s">
        <v>58</v>
      </c>
      <c r="AP6" t="s">
        <v>58</v>
      </c>
      <c r="AQ6" t="s">
        <v>58</v>
      </c>
      <c r="AR6" t="s">
        <v>58</v>
      </c>
      <c r="AS6" t="s">
        <v>58</v>
      </c>
      <c r="AT6" t="s">
        <v>204</v>
      </c>
      <c r="AU6" t="s">
        <v>205</v>
      </c>
      <c r="AV6" t="s">
        <v>206</v>
      </c>
      <c r="AW6" t="s">
        <v>182</v>
      </c>
      <c r="AX6" t="s">
        <v>207</v>
      </c>
      <c r="AY6" t="s">
        <v>188</v>
      </c>
      <c r="AZ6" t="s">
        <v>86</v>
      </c>
      <c r="BA6" t="s">
        <v>98</v>
      </c>
      <c r="BB6" t="s">
        <v>119</v>
      </c>
    </row>
    <row r="7" spans="1:54" x14ac:dyDescent="0.25">
      <c r="A7" t="s">
        <v>208</v>
      </c>
      <c r="B7" s="2" t="str" cm="1">
        <f t="array" ref="B7">_xlfn.IFS(C7 = "UEFA","Europa",C7= "CONMEBOL","América do Sul",C7= "CAF", "África",C7="AFC", "Ásia",C7="OFC", "Oceania",C7="CONCACAF","América Central e Norte")</f>
        <v>Europa</v>
      </c>
      <c r="C7" t="s">
        <v>940</v>
      </c>
      <c r="D7" t="s">
        <v>157</v>
      </c>
      <c r="E7" t="s">
        <v>209</v>
      </c>
      <c r="F7" t="s">
        <v>73</v>
      </c>
      <c r="G7" t="s">
        <v>210</v>
      </c>
      <c r="H7" t="s">
        <v>211</v>
      </c>
      <c r="I7" t="s">
        <v>212</v>
      </c>
      <c r="J7" t="s">
        <v>213</v>
      </c>
      <c r="K7" t="s">
        <v>214</v>
      </c>
      <c r="L7" t="s">
        <v>215</v>
      </c>
      <c r="M7" t="s">
        <v>73</v>
      </c>
      <c r="N7" t="s">
        <v>54</v>
      </c>
      <c r="O7" t="s">
        <v>73</v>
      </c>
      <c r="P7" t="s">
        <v>138</v>
      </c>
      <c r="Q7" t="s">
        <v>99</v>
      </c>
      <c r="R7" t="s">
        <v>216</v>
      </c>
      <c r="S7" t="s">
        <v>190</v>
      </c>
      <c r="T7" t="s">
        <v>217</v>
      </c>
      <c r="U7" t="s">
        <v>138</v>
      </c>
      <c r="V7" t="s">
        <v>218</v>
      </c>
      <c r="W7" t="s">
        <v>190</v>
      </c>
      <c r="X7" t="s">
        <v>219</v>
      </c>
      <c r="Y7" t="s">
        <v>62</v>
      </c>
      <c r="Z7" t="s">
        <v>73</v>
      </c>
      <c r="AA7" t="s">
        <v>220</v>
      </c>
      <c r="AB7" t="s">
        <v>221</v>
      </c>
      <c r="AC7" t="s">
        <v>222</v>
      </c>
      <c r="AD7" t="s">
        <v>223</v>
      </c>
      <c r="AE7" t="s">
        <v>224</v>
      </c>
      <c r="AF7" t="s">
        <v>225</v>
      </c>
      <c r="AG7" t="s">
        <v>103</v>
      </c>
      <c r="AH7" t="s">
        <v>199</v>
      </c>
      <c r="AI7" t="s">
        <v>226</v>
      </c>
      <c r="AJ7" t="s">
        <v>83</v>
      </c>
      <c r="AK7" t="s">
        <v>82</v>
      </c>
      <c r="AL7" t="s">
        <v>227</v>
      </c>
      <c r="AM7" t="s">
        <v>228</v>
      </c>
      <c r="AN7" t="s">
        <v>103</v>
      </c>
      <c r="AO7" t="s">
        <v>58</v>
      </c>
      <c r="AP7" t="s">
        <v>58</v>
      </c>
      <c r="AQ7" t="s">
        <v>58</v>
      </c>
      <c r="AR7" t="s">
        <v>58</v>
      </c>
      <c r="AS7" t="s">
        <v>58</v>
      </c>
      <c r="AT7" t="s">
        <v>229</v>
      </c>
      <c r="AU7" t="s">
        <v>230</v>
      </c>
      <c r="AV7" t="s">
        <v>231</v>
      </c>
      <c r="AW7" t="s">
        <v>232</v>
      </c>
      <c r="AX7" t="s">
        <v>233</v>
      </c>
      <c r="AY7" t="s">
        <v>73</v>
      </c>
      <c r="AZ7" t="s">
        <v>63</v>
      </c>
      <c r="BA7" t="s">
        <v>53</v>
      </c>
      <c r="BB7" t="s">
        <v>164</v>
      </c>
    </row>
    <row r="8" spans="1:54" x14ac:dyDescent="0.25">
      <c r="A8" t="s">
        <v>234</v>
      </c>
      <c r="B8" s="2" t="str" cm="1">
        <f t="array" ref="B8">_xlfn.IFS(C8 = "UEFA","Europa",C8= "CONMEBOL","América do Sul",C8= "CAF", "África",C8="AFC", "Ásia",C8="OFC", "Oceania",C8="CONCACAF","América Central e Norte")</f>
        <v>Europa</v>
      </c>
      <c r="C8" t="s">
        <v>940</v>
      </c>
      <c r="D8" t="s">
        <v>157</v>
      </c>
      <c r="E8" t="s">
        <v>53</v>
      </c>
      <c r="F8" t="s">
        <v>233</v>
      </c>
      <c r="G8" t="s">
        <v>62</v>
      </c>
      <c r="H8" t="s">
        <v>119</v>
      </c>
      <c r="I8" t="s">
        <v>159</v>
      </c>
      <c r="J8" t="s">
        <v>59</v>
      </c>
      <c r="K8" t="s">
        <v>235</v>
      </c>
      <c r="L8" t="s">
        <v>236</v>
      </c>
      <c r="M8" t="s">
        <v>80</v>
      </c>
      <c r="N8" t="s">
        <v>97</v>
      </c>
      <c r="O8" t="s">
        <v>86</v>
      </c>
      <c r="P8" t="s">
        <v>237</v>
      </c>
      <c r="Q8" t="s">
        <v>86</v>
      </c>
      <c r="R8" t="s">
        <v>192</v>
      </c>
      <c r="S8" t="s">
        <v>238</v>
      </c>
      <c r="T8" t="s">
        <v>166</v>
      </c>
      <c r="U8" t="s">
        <v>63</v>
      </c>
      <c r="V8" t="s">
        <v>239</v>
      </c>
      <c r="W8" t="s">
        <v>240</v>
      </c>
      <c r="X8" t="s">
        <v>241</v>
      </c>
      <c r="Y8" t="s">
        <v>80</v>
      </c>
      <c r="Z8" t="s">
        <v>80</v>
      </c>
      <c r="AA8" t="s">
        <v>242</v>
      </c>
      <c r="AB8" t="s">
        <v>243</v>
      </c>
      <c r="AC8" t="s">
        <v>244</v>
      </c>
      <c r="AD8" t="s">
        <v>245</v>
      </c>
      <c r="AE8" t="s">
        <v>246</v>
      </c>
      <c r="AF8" t="s">
        <v>247</v>
      </c>
      <c r="AG8" t="s">
        <v>58</v>
      </c>
      <c r="AH8" t="s">
        <v>57</v>
      </c>
      <c r="AI8" t="s">
        <v>248</v>
      </c>
      <c r="AJ8" t="s">
        <v>249</v>
      </c>
      <c r="AK8" t="s">
        <v>250</v>
      </c>
      <c r="AL8" t="s">
        <v>80</v>
      </c>
      <c r="AM8" t="s">
        <v>251</v>
      </c>
      <c r="AN8" t="s">
        <v>157</v>
      </c>
      <c r="AO8" t="s">
        <v>80</v>
      </c>
      <c r="AP8" t="s">
        <v>63</v>
      </c>
      <c r="AQ8" t="s">
        <v>63</v>
      </c>
      <c r="AR8" t="s">
        <v>63</v>
      </c>
      <c r="AS8" t="s">
        <v>58</v>
      </c>
      <c r="AT8" t="s">
        <v>252</v>
      </c>
      <c r="AU8" t="s">
        <v>253</v>
      </c>
      <c r="AV8" t="s">
        <v>254</v>
      </c>
      <c r="AW8" t="s">
        <v>255</v>
      </c>
      <c r="AX8" t="s">
        <v>256</v>
      </c>
      <c r="AY8" t="s">
        <v>201</v>
      </c>
      <c r="AZ8" t="s">
        <v>119</v>
      </c>
      <c r="BA8" t="s">
        <v>257</v>
      </c>
      <c r="BB8" t="s">
        <v>63</v>
      </c>
    </row>
    <row r="9" spans="1:54" x14ac:dyDescent="0.25">
      <c r="A9" t="s">
        <v>258</v>
      </c>
      <c r="B9" s="2" t="str" cm="1">
        <f t="array" ref="B9">_xlfn.IFS(C9 = "UEFA","Europa",C9= "CONMEBOL","América do Sul",C9= "CAF", "África",C9="AFC", "Ásia",C9="OFC", "Oceania",C9="CONCACAF","América Central e Norte")</f>
        <v>Europa</v>
      </c>
      <c r="C9" t="s">
        <v>940</v>
      </c>
      <c r="D9" t="s">
        <v>157</v>
      </c>
      <c r="E9" t="s">
        <v>259</v>
      </c>
      <c r="F9" t="s">
        <v>62</v>
      </c>
      <c r="G9" t="s">
        <v>54</v>
      </c>
      <c r="H9" t="s">
        <v>260</v>
      </c>
      <c r="I9" t="s">
        <v>261</v>
      </c>
      <c r="J9" t="s">
        <v>160</v>
      </c>
      <c r="K9" t="s">
        <v>262</v>
      </c>
      <c r="L9" t="s">
        <v>263</v>
      </c>
      <c r="M9" t="s">
        <v>55</v>
      </c>
      <c r="N9" t="s">
        <v>233</v>
      </c>
      <c r="O9" t="s">
        <v>103</v>
      </c>
      <c r="P9" t="s">
        <v>138</v>
      </c>
      <c r="Q9" t="s">
        <v>99</v>
      </c>
      <c r="R9" t="s">
        <v>264</v>
      </c>
      <c r="S9" t="s">
        <v>157</v>
      </c>
      <c r="T9" t="s">
        <v>146</v>
      </c>
      <c r="U9" t="s">
        <v>62</v>
      </c>
      <c r="V9" t="s">
        <v>98</v>
      </c>
      <c r="W9" t="s">
        <v>248</v>
      </c>
      <c r="X9" t="s">
        <v>265</v>
      </c>
      <c r="Y9" t="s">
        <v>73</v>
      </c>
      <c r="Z9" t="s">
        <v>97</v>
      </c>
      <c r="AA9" t="s">
        <v>266</v>
      </c>
      <c r="AB9" t="s">
        <v>267</v>
      </c>
      <c r="AC9" t="s">
        <v>268</v>
      </c>
      <c r="AD9" t="s">
        <v>269</v>
      </c>
      <c r="AE9" t="s">
        <v>270</v>
      </c>
      <c r="AF9" t="s">
        <v>271</v>
      </c>
      <c r="AG9" t="s">
        <v>73</v>
      </c>
      <c r="AH9" t="s">
        <v>81</v>
      </c>
      <c r="AI9" t="s">
        <v>272</v>
      </c>
      <c r="AJ9" t="s">
        <v>134</v>
      </c>
      <c r="AK9" t="s">
        <v>165</v>
      </c>
      <c r="AL9" t="s">
        <v>104</v>
      </c>
      <c r="AM9" t="s">
        <v>273</v>
      </c>
      <c r="AN9" t="s">
        <v>80</v>
      </c>
      <c r="AO9" t="s">
        <v>63</v>
      </c>
      <c r="AP9" t="s">
        <v>86</v>
      </c>
      <c r="AQ9" t="s">
        <v>86</v>
      </c>
      <c r="AR9" t="s">
        <v>58</v>
      </c>
      <c r="AS9" t="s">
        <v>63</v>
      </c>
      <c r="AT9" t="s">
        <v>274</v>
      </c>
      <c r="AU9" t="s">
        <v>275</v>
      </c>
      <c r="AV9" t="s">
        <v>276</v>
      </c>
      <c r="AW9" t="s">
        <v>277</v>
      </c>
      <c r="AX9" t="s">
        <v>278</v>
      </c>
      <c r="AY9" t="s">
        <v>279</v>
      </c>
      <c r="AZ9" t="s">
        <v>280</v>
      </c>
      <c r="BA9" t="s">
        <v>249</v>
      </c>
      <c r="BB9" t="s">
        <v>280</v>
      </c>
    </row>
    <row r="10" spans="1:54" x14ac:dyDescent="0.25">
      <c r="A10" t="s">
        <v>281</v>
      </c>
      <c r="B10" s="2" t="str" cm="1">
        <f t="array" ref="B10">_xlfn.IFS(C10 = "UEFA","Europa",C10= "CONMEBOL","América do Sul",C10= "CAF", "África",C10="AFC", "Ásia",C10="OFC", "Oceania",C10="CONCACAF","América Central e Norte")</f>
        <v>Europa</v>
      </c>
      <c r="C10" t="s">
        <v>940</v>
      </c>
      <c r="D10" t="s">
        <v>97</v>
      </c>
      <c r="E10" t="s">
        <v>282</v>
      </c>
      <c r="F10" t="s">
        <v>63</v>
      </c>
      <c r="G10" t="s">
        <v>233</v>
      </c>
      <c r="H10" t="s">
        <v>283</v>
      </c>
      <c r="I10" t="s">
        <v>284</v>
      </c>
      <c r="J10" t="s">
        <v>285</v>
      </c>
      <c r="K10" t="s">
        <v>286</v>
      </c>
      <c r="L10" t="s">
        <v>287</v>
      </c>
      <c r="M10" t="s">
        <v>55</v>
      </c>
      <c r="N10" t="s">
        <v>62</v>
      </c>
      <c r="O10" t="s">
        <v>73</v>
      </c>
      <c r="P10" t="s">
        <v>288</v>
      </c>
      <c r="Q10" t="s">
        <v>289</v>
      </c>
      <c r="R10" t="s">
        <v>290</v>
      </c>
      <c r="S10" t="s">
        <v>70</v>
      </c>
      <c r="T10" t="s">
        <v>291</v>
      </c>
      <c r="U10" t="s">
        <v>97</v>
      </c>
      <c r="V10" t="s">
        <v>190</v>
      </c>
      <c r="W10" t="s">
        <v>291</v>
      </c>
      <c r="X10" t="s">
        <v>239</v>
      </c>
      <c r="Y10" t="s">
        <v>103</v>
      </c>
      <c r="Z10" t="s">
        <v>55</v>
      </c>
      <c r="AA10" t="s">
        <v>292</v>
      </c>
      <c r="AB10" t="s">
        <v>293</v>
      </c>
      <c r="AC10" t="s">
        <v>294</v>
      </c>
      <c r="AD10" t="s">
        <v>295</v>
      </c>
      <c r="AE10" t="s">
        <v>296</v>
      </c>
      <c r="AF10" t="s">
        <v>297</v>
      </c>
      <c r="AG10" t="s">
        <v>103</v>
      </c>
      <c r="AH10" t="s">
        <v>116</v>
      </c>
      <c r="AI10" t="s">
        <v>128</v>
      </c>
      <c r="AJ10" t="s">
        <v>298</v>
      </c>
      <c r="AK10" t="s">
        <v>272</v>
      </c>
      <c r="AL10" t="s">
        <v>93</v>
      </c>
      <c r="AM10" t="s">
        <v>299</v>
      </c>
      <c r="AN10" t="s">
        <v>86</v>
      </c>
      <c r="AO10" t="s">
        <v>58</v>
      </c>
      <c r="AP10" t="s">
        <v>58</v>
      </c>
      <c r="AQ10" t="s">
        <v>58</v>
      </c>
      <c r="AR10" t="s">
        <v>58</v>
      </c>
      <c r="AS10" t="s">
        <v>58</v>
      </c>
      <c r="AT10" t="s">
        <v>300</v>
      </c>
      <c r="AU10" t="s">
        <v>301</v>
      </c>
      <c r="AV10" t="s">
        <v>302</v>
      </c>
      <c r="AW10" t="s">
        <v>303</v>
      </c>
      <c r="AX10" t="s">
        <v>210</v>
      </c>
      <c r="AY10" t="s">
        <v>99</v>
      </c>
      <c r="AZ10" t="s">
        <v>63</v>
      </c>
      <c r="BA10" t="s">
        <v>304</v>
      </c>
      <c r="BB10" t="s">
        <v>126</v>
      </c>
    </row>
    <row r="11" spans="1:54" x14ac:dyDescent="0.25">
      <c r="A11" t="s">
        <v>305</v>
      </c>
      <c r="B11" s="2" t="str" cm="1">
        <f t="array" ref="B11">_xlfn.IFS(C11 = "UEFA","Europa",C11= "CONMEBOL","América do Sul",C11= "CAF", "África",C11="AFC", "Ásia",C11="OFC", "Oceania",C11="CONCACAF","América Central e Norte")</f>
        <v>Europa</v>
      </c>
      <c r="C11" t="s">
        <v>940</v>
      </c>
      <c r="D11" t="s">
        <v>97</v>
      </c>
      <c r="E11" t="s">
        <v>66</v>
      </c>
      <c r="F11" t="s">
        <v>73</v>
      </c>
      <c r="G11" t="s">
        <v>98</v>
      </c>
      <c r="H11" t="s">
        <v>64</v>
      </c>
      <c r="I11" t="s">
        <v>100</v>
      </c>
      <c r="J11" t="s">
        <v>59</v>
      </c>
      <c r="K11" t="s">
        <v>306</v>
      </c>
      <c r="L11" t="s">
        <v>307</v>
      </c>
      <c r="M11" t="s">
        <v>80</v>
      </c>
      <c r="N11" t="s">
        <v>53</v>
      </c>
      <c r="O11" t="s">
        <v>63</v>
      </c>
      <c r="P11" t="s">
        <v>201</v>
      </c>
      <c r="Q11" t="s">
        <v>308</v>
      </c>
      <c r="R11" t="s">
        <v>309</v>
      </c>
      <c r="S11" t="s">
        <v>310</v>
      </c>
      <c r="T11" t="s">
        <v>157</v>
      </c>
      <c r="U11" t="s">
        <v>107</v>
      </c>
      <c r="V11" t="s">
        <v>105</v>
      </c>
      <c r="W11" t="s">
        <v>83</v>
      </c>
      <c r="X11" t="s">
        <v>311</v>
      </c>
      <c r="Y11" t="s">
        <v>73</v>
      </c>
      <c r="Z11" t="s">
        <v>55</v>
      </c>
      <c r="AA11" t="s">
        <v>312</v>
      </c>
      <c r="AB11" t="s">
        <v>313</v>
      </c>
      <c r="AC11" t="s">
        <v>314</v>
      </c>
      <c r="AD11" t="s">
        <v>315</v>
      </c>
      <c r="AE11" t="s">
        <v>316</v>
      </c>
      <c r="AF11" t="s">
        <v>317</v>
      </c>
      <c r="AG11" t="s">
        <v>80</v>
      </c>
      <c r="AH11" t="s">
        <v>126</v>
      </c>
      <c r="AI11" t="s">
        <v>155</v>
      </c>
      <c r="AJ11" t="s">
        <v>239</v>
      </c>
      <c r="AK11" t="s">
        <v>304</v>
      </c>
      <c r="AL11" t="s">
        <v>199</v>
      </c>
      <c r="AM11" t="s">
        <v>318</v>
      </c>
      <c r="AN11" t="s">
        <v>58</v>
      </c>
      <c r="AO11" t="s">
        <v>86</v>
      </c>
      <c r="AP11" t="s">
        <v>58</v>
      </c>
      <c r="AQ11" t="s">
        <v>58</v>
      </c>
      <c r="AR11" t="s">
        <v>86</v>
      </c>
      <c r="AS11" t="s">
        <v>86</v>
      </c>
      <c r="AT11" t="s">
        <v>319</v>
      </c>
      <c r="AU11" t="s">
        <v>320</v>
      </c>
      <c r="AV11" t="s">
        <v>321</v>
      </c>
      <c r="AW11" t="s">
        <v>322</v>
      </c>
      <c r="AX11" t="s">
        <v>323</v>
      </c>
      <c r="AY11" t="s">
        <v>324</v>
      </c>
      <c r="AZ11" t="s">
        <v>126</v>
      </c>
      <c r="BA11" t="s">
        <v>325</v>
      </c>
      <c r="BB11" t="s">
        <v>86</v>
      </c>
    </row>
    <row r="12" spans="1:54" x14ac:dyDescent="0.25">
      <c r="A12" t="s">
        <v>326</v>
      </c>
      <c r="B12" s="2" t="str" cm="1">
        <f t="array" ref="B12">_xlfn.IFS(C12 = "UEFA","Europa",C12= "CONMEBOL","América do Sul",C12= "CAF", "África",C12="AFC", "Ásia",C12="OFC", "Oceania",C12="CONCACAF","América Central e Norte")</f>
        <v>Europa</v>
      </c>
      <c r="C12" t="s">
        <v>940</v>
      </c>
      <c r="D12" t="s">
        <v>157</v>
      </c>
      <c r="E12" t="s">
        <v>327</v>
      </c>
      <c r="F12" t="s">
        <v>103</v>
      </c>
      <c r="G12" t="s">
        <v>259</v>
      </c>
      <c r="H12" t="s">
        <v>71</v>
      </c>
      <c r="I12" t="s">
        <v>285</v>
      </c>
      <c r="J12" t="s">
        <v>59</v>
      </c>
      <c r="K12" t="s">
        <v>328</v>
      </c>
      <c r="L12" t="s">
        <v>329</v>
      </c>
      <c r="M12" t="s">
        <v>233</v>
      </c>
      <c r="N12" t="s">
        <v>56</v>
      </c>
      <c r="O12" t="s">
        <v>157</v>
      </c>
      <c r="P12" t="s">
        <v>97</v>
      </c>
      <c r="Q12" t="s">
        <v>136</v>
      </c>
      <c r="R12" t="s">
        <v>330</v>
      </c>
      <c r="S12" t="s">
        <v>331</v>
      </c>
      <c r="T12" t="s">
        <v>332</v>
      </c>
      <c r="U12" t="s">
        <v>333</v>
      </c>
      <c r="V12" t="s">
        <v>334</v>
      </c>
      <c r="W12" t="s">
        <v>103</v>
      </c>
      <c r="X12" t="s">
        <v>335</v>
      </c>
      <c r="Y12" t="s">
        <v>62</v>
      </c>
      <c r="Z12" t="s">
        <v>282</v>
      </c>
      <c r="AA12" t="s">
        <v>336</v>
      </c>
      <c r="AB12" t="s">
        <v>337</v>
      </c>
      <c r="AC12" t="s">
        <v>338</v>
      </c>
      <c r="AD12" t="s">
        <v>339</v>
      </c>
      <c r="AE12" t="s">
        <v>340</v>
      </c>
      <c r="AF12" t="s">
        <v>341</v>
      </c>
      <c r="AG12" t="s">
        <v>73</v>
      </c>
      <c r="AH12" t="s">
        <v>342</v>
      </c>
      <c r="AI12" t="s">
        <v>335</v>
      </c>
      <c r="AJ12" t="s">
        <v>343</v>
      </c>
      <c r="AK12" t="s">
        <v>165</v>
      </c>
      <c r="AL12" t="s">
        <v>163</v>
      </c>
      <c r="AM12" t="s">
        <v>344</v>
      </c>
      <c r="AN12" t="s">
        <v>80</v>
      </c>
      <c r="AO12" t="s">
        <v>86</v>
      </c>
      <c r="AP12" t="s">
        <v>58</v>
      </c>
      <c r="AQ12" t="s">
        <v>58</v>
      </c>
      <c r="AR12" t="s">
        <v>58</v>
      </c>
      <c r="AS12" t="s">
        <v>86</v>
      </c>
      <c r="AT12" t="s">
        <v>345</v>
      </c>
      <c r="AU12" t="s">
        <v>346</v>
      </c>
      <c r="AV12" t="s">
        <v>347</v>
      </c>
      <c r="AW12" t="s">
        <v>348</v>
      </c>
      <c r="AX12" t="s">
        <v>174</v>
      </c>
      <c r="AY12" t="s">
        <v>166</v>
      </c>
      <c r="AZ12" t="s">
        <v>199</v>
      </c>
      <c r="BA12" t="s">
        <v>175</v>
      </c>
      <c r="BB12" t="s">
        <v>86</v>
      </c>
    </row>
    <row r="13" spans="1:54" x14ac:dyDescent="0.25">
      <c r="A13" t="s">
        <v>349</v>
      </c>
      <c r="B13" s="2" t="str" cm="1">
        <f t="array" ref="B13">_xlfn.IFS(C13 = "UEFA","Europa",C13= "CONMEBOL","América do Sul",C13= "CAF", "África",C13="AFC", "Ásia",C13="OFC", "Oceania",C13="CONCACAF","América Central e Norte")</f>
        <v>Europa</v>
      </c>
      <c r="C13" t="s">
        <v>940</v>
      </c>
      <c r="D13" t="s">
        <v>157</v>
      </c>
      <c r="E13" t="s">
        <v>350</v>
      </c>
      <c r="F13" t="s">
        <v>73</v>
      </c>
      <c r="G13" t="s">
        <v>66</v>
      </c>
      <c r="H13" t="s">
        <v>95</v>
      </c>
      <c r="I13" t="s">
        <v>284</v>
      </c>
      <c r="J13" t="s">
        <v>351</v>
      </c>
      <c r="K13" t="s">
        <v>352</v>
      </c>
      <c r="L13" t="s">
        <v>353</v>
      </c>
      <c r="M13" t="s">
        <v>56</v>
      </c>
      <c r="N13" t="s">
        <v>55</v>
      </c>
      <c r="O13" t="s">
        <v>63</v>
      </c>
      <c r="P13" t="s">
        <v>283</v>
      </c>
      <c r="Q13" t="s">
        <v>237</v>
      </c>
      <c r="R13" t="s">
        <v>354</v>
      </c>
      <c r="S13" t="s">
        <v>83</v>
      </c>
      <c r="T13" t="s">
        <v>138</v>
      </c>
      <c r="U13" t="s">
        <v>163</v>
      </c>
      <c r="V13" t="s">
        <v>190</v>
      </c>
      <c r="W13" t="s">
        <v>166</v>
      </c>
      <c r="X13" t="s">
        <v>335</v>
      </c>
      <c r="Y13" t="s">
        <v>97</v>
      </c>
      <c r="Z13" t="s">
        <v>157</v>
      </c>
      <c r="AA13" t="s">
        <v>355</v>
      </c>
      <c r="AB13" t="s">
        <v>356</v>
      </c>
      <c r="AC13" t="s">
        <v>357</v>
      </c>
      <c r="AD13" t="s">
        <v>358</v>
      </c>
      <c r="AE13" t="s">
        <v>359</v>
      </c>
      <c r="AF13" t="s">
        <v>360</v>
      </c>
      <c r="AG13" t="s">
        <v>73</v>
      </c>
      <c r="AH13" t="s">
        <v>199</v>
      </c>
      <c r="AI13" t="s">
        <v>210</v>
      </c>
      <c r="AJ13" t="s">
        <v>201</v>
      </c>
      <c r="AK13" t="s">
        <v>264</v>
      </c>
      <c r="AL13" t="s">
        <v>104</v>
      </c>
      <c r="AM13" t="s">
        <v>361</v>
      </c>
      <c r="AN13" t="s">
        <v>80</v>
      </c>
      <c r="AO13" t="s">
        <v>58</v>
      </c>
      <c r="AP13" t="s">
        <v>58</v>
      </c>
      <c r="AQ13" t="s">
        <v>58</v>
      </c>
      <c r="AR13" t="s">
        <v>86</v>
      </c>
      <c r="AS13" t="s">
        <v>58</v>
      </c>
      <c r="AT13" t="s">
        <v>362</v>
      </c>
      <c r="AU13" t="s">
        <v>363</v>
      </c>
      <c r="AV13" t="s">
        <v>364</v>
      </c>
      <c r="AW13" t="s">
        <v>365</v>
      </c>
      <c r="AX13" t="s">
        <v>366</v>
      </c>
      <c r="AY13" t="s">
        <v>67</v>
      </c>
      <c r="AZ13" t="s">
        <v>63</v>
      </c>
      <c r="BA13" t="s">
        <v>367</v>
      </c>
      <c r="BB13" t="s">
        <v>227</v>
      </c>
    </row>
    <row r="14" spans="1:54" x14ac:dyDescent="0.25">
      <c r="A14" t="s">
        <v>368</v>
      </c>
      <c r="B14" s="2" t="str" cm="1">
        <f t="array" ref="B14">_xlfn.IFS(C14 = "UEFA","Europa",C14= "CONMEBOL","América do Sul",C14= "CAF", "África",C14="AFC", "Ásia",C14="OFC", "Oceania",C14="CONCACAF","América Central e Norte")</f>
        <v>Europa</v>
      </c>
      <c r="C14" t="s">
        <v>940</v>
      </c>
      <c r="D14" t="s">
        <v>97</v>
      </c>
      <c r="E14" t="s">
        <v>369</v>
      </c>
      <c r="F14" t="s">
        <v>62</v>
      </c>
      <c r="G14" t="s">
        <v>53</v>
      </c>
      <c r="H14" t="s">
        <v>324</v>
      </c>
      <c r="I14" t="s">
        <v>370</v>
      </c>
      <c r="J14" t="s">
        <v>371</v>
      </c>
      <c r="K14" t="s">
        <v>372</v>
      </c>
      <c r="L14" t="s">
        <v>373</v>
      </c>
      <c r="M14" t="s">
        <v>103</v>
      </c>
      <c r="N14" t="s">
        <v>98</v>
      </c>
      <c r="O14" t="s">
        <v>80</v>
      </c>
      <c r="P14" t="s">
        <v>134</v>
      </c>
      <c r="Q14" t="s">
        <v>64</v>
      </c>
      <c r="R14" t="s">
        <v>374</v>
      </c>
      <c r="S14" t="s">
        <v>375</v>
      </c>
      <c r="T14" t="s">
        <v>325</v>
      </c>
      <c r="U14" t="s">
        <v>190</v>
      </c>
      <c r="V14" t="s">
        <v>62</v>
      </c>
      <c r="W14" t="s">
        <v>117</v>
      </c>
      <c r="X14" t="s">
        <v>157</v>
      </c>
      <c r="Y14" t="s">
        <v>62</v>
      </c>
      <c r="Z14" t="s">
        <v>97</v>
      </c>
      <c r="AA14" t="s">
        <v>376</v>
      </c>
      <c r="AB14" t="s">
        <v>377</v>
      </c>
      <c r="AC14" t="s">
        <v>378</v>
      </c>
      <c r="AD14" t="s">
        <v>379</v>
      </c>
      <c r="AE14" t="s">
        <v>380</v>
      </c>
      <c r="AF14" t="s">
        <v>381</v>
      </c>
      <c r="AG14" t="s">
        <v>63</v>
      </c>
      <c r="AH14" t="s">
        <v>145</v>
      </c>
      <c r="AI14" t="s">
        <v>133</v>
      </c>
      <c r="AJ14" t="s">
        <v>298</v>
      </c>
      <c r="AK14" t="s">
        <v>133</v>
      </c>
      <c r="AL14" t="s">
        <v>104</v>
      </c>
      <c r="AM14" t="s">
        <v>382</v>
      </c>
      <c r="AN14" t="s">
        <v>86</v>
      </c>
      <c r="AO14" t="s">
        <v>86</v>
      </c>
      <c r="AP14" t="s">
        <v>58</v>
      </c>
      <c r="AQ14" t="s">
        <v>58</v>
      </c>
      <c r="AR14" t="s">
        <v>86</v>
      </c>
      <c r="AS14" t="s">
        <v>58</v>
      </c>
      <c r="AT14" t="s">
        <v>383</v>
      </c>
      <c r="AU14" t="s">
        <v>384</v>
      </c>
      <c r="AV14" t="s">
        <v>385</v>
      </c>
      <c r="AW14" t="s">
        <v>386</v>
      </c>
      <c r="AX14" t="s">
        <v>153</v>
      </c>
      <c r="AY14" t="s">
        <v>135</v>
      </c>
      <c r="AZ14" t="s">
        <v>136</v>
      </c>
      <c r="BA14" t="s">
        <v>62</v>
      </c>
      <c r="BB14" t="s">
        <v>119</v>
      </c>
    </row>
    <row r="15" spans="1:54" x14ac:dyDescent="0.25">
      <c r="A15" t="s">
        <v>387</v>
      </c>
      <c r="B15" s="2" t="str" cm="1">
        <f t="array" ref="B15">_xlfn.IFS(C15 = "UEFA","Europa",C15= "CONMEBOL","América do Sul",C15= "CAF", "África",C15="AFC", "Ásia",C15="OFC", "Oceania",C15="CONCACAF","América Central e Norte")</f>
        <v>Europa</v>
      </c>
      <c r="C15" t="s">
        <v>940</v>
      </c>
      <c r="D15" t="s">
        <v>157</v>
      </c>
      <c r="E15" t="s">
        <v>350</v>
      </c>
      <c r="F15" t="s">
        <v>58</v>
      </c>
      <c r="G15" t="s">
        <v>233</v>
      </c>
      <c r="H15" t="s">
        <v>95</v>
      </c>
      <c r="I15" t="s">
        <v>100</v>
      </c>
      <c r="J15" t="s">
        <v>371</v>
      </c>
      <c r="K15" t="s">
        <v>388</v>
      </c>
      <c r="L15" t="s">
        <v>389</v>
      </c>
      <c r="M15" t="s">
        <v>97</v>
      </c>
      <c r="N15" t="s">
        <v>56</v>
      </c>
      <c r="O15" t="s">
        <v>80</v>
      </c>
      <c r="P15" t="s">
        <v>69</v>
      </c>
      <c r="Q15" t="s">
        <v>177</v>
      </c>
      <c r="R15" t="s">
        <v>390</v>
      </c>
      <c r="S15" t="s">
        <v>391</v>
      </c>
      <c r="T15" t="s">
        <v>191</v>
      </c>
      <c r="U15" t="s">
        <v>67</v>
      </c>
      <c r="V15" t="s">
        <v>183</v>
      </c>
      <c r="W15" t="s">
        <v>288</v>
      </c>
      <c r="X15" t="s">
        <v>304</v>
      </c>
      <c r="Y15" t="s">
        <v>73</v>
      </c>
      <c r="Z15" t="s">
        <v>62</v>
      </c>
      <c r="AA15" t="s">
        <v>392</v>
      </c>
      <c r="AB15" t="s">
        <v>393</v>
      </c>
      <c r="AC15" t="s">
        <v>394</v>
      </c>
      <c r="AD15" t="s">
        <v>395</v>
      </c>
      <c r="AE15" t="s">
        <v>396</v>
      </c>
      <c r="AF15" t="s">
        <v>397</v>
      </c>
      <c r="AG15" t="s">
        <v>157</v>
      </c>
      <c r="AH15" t="s">
        <v>58</v>
      </c>
      <c r="AI15" t="s">
        <v>98</v>
      </c>
      <c r="AJ15" t="s">
        <v>83</v>
      </c>
      <c r="AK15" t="s">
        <v>92</v>
      </c>
      <c r="AL15" t="s">
        <v>164</v>
      </c>
      <c r="AM15" t="s">
        <v>398</v>
      </c>
      <c r="AN15" t="s">
        <v>80</v>
      </c>
      <c r="AO15" t="s">
        <v>58</v>
      </c>
      <c r="AP15" t="s">
        <v>58</v>
      </c>
      <c r="AQ15" t="s">
        <v>58</v>
      </c>
      <c r="AR15" t="s">
        <v>58</v>
      </c>
      <c r="AS15" t="s">
        <v>73</v>
      </c>
      <c r="AT15" t="s">
        <v>399</v>
      </c>
      <c r="AU15" t="s">
        <v>400</v>
      </c>
      <c r="AV15" t="s">
        <v>401</v>
      </c>
      <c r="AW15" t="s">
        <v>402</v>
      </c>
      <c r="AX15" t="s">
        <v>403</v>
      </c>
      <c r="AY15" t="s">
        <v>136</v>
      </c>
      <c r="AZ15" t="s">
        <v>63</v>
      </c>
      <c r="BA15" t="s">
        <v>192</v>
      </c>
      <c r="BB15" t="s">
        <v>164</v>
      </c>
    </row>
    <row r="16" spans="1:54" x14ac:dyDescent="0.25">
      <c r="A16" t="s">
        <v>404</v>
      </c>
      <c r="B16" s="2" t="str" cm="1">
        <f t="array" ref="B16">_xlfn.IFS(C16 = "UEFA","Europa",C16= "CONMEBOL","América do Sul",C16= "CAF", "África",C16="AFC", "Ásia",C16="OFC", "Oceania",C16="CONCACAF","América Central e Norte")</f>
        <v>Europa</v>
      </c>
      <c r="C16" t="s">
        <v>940</v>
      </c>
      <c r="D16" t="s">
        <v>157</v>
      </c>
      <c r="E16" t="s">
        <v>405</v>
      </c>
      <c r="F16" t="s">
        <v>73</v>
      </c>
      <c r="G16" t="s">
        <v>210</v>
      </c>
      <c r="H16" t="s">
        <v>324</v>
      </c>
      <c r="I16" t="s">
        <v>370</v>
      </c>
      <c r="J16" t="s">
        <v>213</v>
      </c>
      <c r="K16" t="s">
        <v>406</v>
      </c>
      <c r="L16" t="s">
        <v>407</v>
      </c>
      <c r="M16" t="s">
        <v>97</v>
      </c>
      <c r="N16" t="s">
        <v>82</v>
      </c>
      <c r="O16" t="s">
        <v>103</v>
      </c>
      <c r="P16" t="s">
        <v>191</v>
      </c>
      <c r="Q16" t="s">
        <v>211</v>
      </c>
      <c r="R16" t="s">
        <v>408</v>
      </c>
      <c r="S16" t="s">
        <v>409</v>
      </c>
      <c r="T16" t="s">
        <v>218</v>
      </c>
      <c r="U16" t="s">
        <v>201</v>
      </c>
      <c r="V16" t="s">
        <v>175</v>
      </c>
      <c r="W16" t="s">
        <v>183</v>
      </c>
      <c r="X16" t="s">
        <v>248</v>
      </c>
      <c r="Y16" t="s">
        <v>103</v>
      </c>
      <c r="Z16" t="s">
        <v>53</v>
      </c>
      <c r="AA16" t="s">
        <v>410</v>
      </c>
      <c r="AB16" t="s">
        <v>411</v>
      </c>
      <c r="AC16" t="s">
        <v>412</v>
      </c>
      <c r="AD16" t="s">
        <v>413</v>
      </c>
      <c r="AE16" t="s">
        <v>414</v>
      </c>
      <c r="AF16" t="s">
        <v>415</v>
      </c>
      <c r="AG16" t="s">
        <v>103</v>
      </c>
      <c r="AH16" t="s">
        <v>199</v>
      </c>
      <c r="AI16" t="s">
        <v>416</v>
      </c>
      <c r="AJ16" t="s">
        <v>68</v>
      </c>
      <c r="AK16" t="s">
        <v>417</v>
      </c>
      <c r="AL16" t="s">
        <v>57</v>
      </c>
      <c r="AM16" t="s">
        <v>418</v>
      </c>
      <c r="AN16" t="s">
        <v>58</v>
      </c>
      <c r="AO16" t="s">
        <v>86</v>
      </c>
      <c r="AP16" t="s">
        <v>58</v>
      </c>
      <c r="AQ16" t="s">
        <v>58</v>
      </c>
      <c r="AR16" t="s">
        <v>86</v>
      </c>
      <c r="AS16" t="s">
        <v>58</v>
      </c>
      <c r="AT16" t="s">
        <v>419</v>
      </c>
      <c r="AU16" t="s">
        <v>420</v>
      </c>
      <c r="AV16" t="s">
        <v>421</v>
      </c>
      <c r="AW16" t="s">
        <v>422</v>
      </c>
      <c r="AX16" t="s">
        <v>423</v>
      </c>
      <c r="AY16" t="s">
        <v>71</v>
      </c>
      <c r="AZ16" t="s">
        <v>136</v>
      </c>
      <c r="BA16" t="s">
        <v>175</v>
      </c>
      <c r="BB16" t="s">
        <v>164</v>
      </c>
    </row>
    <row r="17" spans="1:54" x14ac:dyDescent="0.25">
      <c r="A17" t="s">
        <v>424</v>
      </c>
      <c r="B17" s="2" t="str" cm="1">
        <f t="array" ref="B17">_xlfn.IFS(C17 = "UEFA","Europa",C17= "CONMEBOL","América do Sul",C17= "CAF", "África",C17="AFC", "Ásia",C17="OFC", "Oceania",C17="CONCACAF","América Central e Norte")</f>
        <v>América do Sul</v>
      </c>
      <c r="C17" t="s">
        <v>941</v>
      </c>
      <c r="D17" t="s">
        <v>210</v>
      </c>
      <c r="E17" t="s">
        <v>425</v>
      </c>
      <c r="F17" t="s">
        <v>426</v>
      </c>
      <c r="G17" t="s">
        <v>82</v>
      </c>
      <c r="H17" t="s">
        <v>119</v>
      </c>
      <c r="I17" t="s">
        <v>427</v>
      </c>
      <c r="J17" t="s">
        <v>428</v>
      </c>
      <c r="K17" t="s">
        <v>429</v>
      </c>
      <c r="L17" t="s">
        <v>430</v>
      </c>
      <c r="M17" t="s">
        <v>53</v>
      </c>
      <c r="N17" t="s">
        <v>53</v>
      </c>
      <c r="O17" t="s">
        <v>73</v>
      </c>
      <c r="P17" t="s">
        <v>163</v>
      </c>
      <c r="Q17" t="s">
        <v>65</v>
      </c>
      <c r="R17" t="s">
        <v>431</v>
      </c>
      <c r="S17" t="s">
        <v>188</v>
      </c>
      <c r="T17" t="s">
        <v>108</v>
      </c>
      <c r="U17" t="s">
        <v>211</v>
      </c>
      <c r="V17" t="s">
        <v>432</v>
      </c>
      <c r="W17" t="s">
        <v>433</v>
      </c>
      <c r="X17" t="s">
        <v>118</v>
      </c>
      <c r="Y17" t="s">
        <v>157</v>
      </c>
      <c r="Z17" t="s">
        <v>103</v>
      </c>
      <c r="AA17" t="s">
        <v>434</v>
      </c>
      <c r="AB17" t="s">
        <v>435</v>
      </c>
      <c r="AC17" t="s">
        <v>436</v>
      </c>
      <c r="AD17" t="s">
        <v>437</v>
      </c>
      <c r="AE17" t="s">
        <v>438</v>
      </c>
      <c r="AF17" t="s">
        <v>439</v>
      </c>
      <c r="AG17" t="s">
        <v>97</v>
      </c>
      <c r="AH17" t="s">
        <v>81</v>
      </c>
      <c r="AI17" t="s">
        <v>367</v>
      </c>
      <c r="AJ17" t="s">
        <v>332</v>
      </c>
      <c r="AK17" t="s">
        <v>440</v>
      </c>
      <c r="AL17" t="s">
        <v>163</v>
      </c>
      <c r="AM17" t="s">
        <v>441</v>
      </c>
      <c r="AN17" t="s">
        <v>103</v>
      </c>
      <c r="AO17" t="s">
        <v>86</v>
      </c>
      <c r="AP17" t="s">
        <v>86</v>
      </c>
      <c r="AQ17" t="s">
        <v>86</v>
      </c>
      <c r="AR17" t="s">
        <v>63</v>
      </c>
      <c r="AS17" t="s">
        <v>63</v>
      </c>
      <c r="AT17" t="s">
        <v>442</v>
      </c>
      <c r="AU17" t="s">
        <v>443</v>
      </c>
      <c r="AV17" t="s">
        <v>444</v>
      </c>
      <c r="AW17" t="s">
        <v>445</v>
      </c>
      <c r="AX17" t="s">
        <v>446</v>
      </c>
      <c r="AY17" t="s">
        <v>103</v>
      </c>
      <c r="AZ17" t="s">
        <v>164</v>
      </c>
      <c r="BA17" t="s">
        <v>155</v>
      </c>
      <c r="BB17" t="s">
        <v>129</v>
      </c>
    </row>
    <row r="18" spans="1:54" x14ac:dyDescent="0.25">
      <c r="A18" t="s">
        <v>447</v>
      </c>
      <c r="B18" s="2" t="str" cm="1">
        <f t="array" ref="B18">_xlfn.IFS(C18 = "UEFA","Europa",C18= "CONMEBOL","América do Sul",C18= "CAF", "África",C18="AFC", "Ásia",C18="OFC", "Oceania",C18="CONCACAF","América Central e Norte")</f>
        <v>América do Sul</v>
      </c>
      <c r="C18" t="s">
        <v>941</v>
      </c>
      <c r="D18" t="s">
        <v>210</v>
      </c>
      <c r="E18" t="s">
        <v>82</v>
      </c>
      <c r="F18" t="s">
        <v>53</v>
      </c>
      <c r="G18" t="s">
        <v>53</v>
      </c>
      <c r="H18" t="s">
        <v>164</v>
      </c>
      <c r="I18" t="s">
        <v>285</v>
      </c>
      <c r="J18" t="s">
        <v>448</v>
      </c>
      <c r="K18" t="s">
        <v>449</v>
      </c>
      <c r="L18" t="s">
        <v>450</v>
      </c>
      <c r="M18" t="s">
        <v>80</v>
      </c>
      <c r="N18" t="s">
        <v>62</v>
      </c>
      <c r="O18" t="s">
        <v>73</v>
      </c>
      <c r="P18" t="s">
        <v>119</v>
      </c>
      <c r="Q18" t="s">
        <v>81</v>
      </c>
      <c r="R18" t="s">
        <v>56</v>
      </c>
      <c r="S18" t="s">
        <v>308</v>
      </c>
      <c r="T18" t="s">
        <v>279</v>
      </c>
      <c r="U18" t="s">
        <v>324</v>
      </c>
      <c r="V18" t="s">
        <v>217</v>
      </c>
      <c r="W18" t="s">
        <v>166</v>
      </c>
      <c r="X18" t="s">
        <v>70</v>
      </c>
      <c r="Y18" t="s">
        <v>53</v>
      </c>
      <c r="Z18" t="s">
        <v>128</v>
      </c>
      <c r="AA18" t="s">
        <v>451</v>
      </c>
      <c r="AB18" t="s">
        <v>452</v>
      </c>
      <c r="AC18" t="s">
        <v>453</v>
      </c>
      <c r="AD18" t="s">
        <v>454</v>
      </c>
      <c r="AE18" t="s">
        <v>455</v>
      </c>
      <c r="AF18" t="s">
        <v>456</v>
      </c>
      <c r="AG18" t="s">
        <v>53</v>
      </c>
      <c r="AH18" t="s">
        <v>342</v>
      </c>
      <c r="AI18" t="s">
        <v>256</v>
      </c>
      <c r="AJ18" t="s">
        <v>137</v>
      </c>
      <c r="AK18" t="s">
        <v>408</v>
      </c>
      <c r="AL18" t="s">
        <v>129</v>
      </c>
      <c r="AM18" t="s">
        <v>457</v>
      </c>
      <c r="AN18" t="s">
        <v>63</v>
      </c>
      <c r="AO18" t="s">
        <v>86</v>
      </c>
      <c r="AP18" t="s">
        <v>80</v>
      </c>
      <c r="AQ18" t="s">
        <v>80</v>
      </c>
      <c r="AR18" t="s">
        <v>86</v>
      </c>
      <c r="AS18" t="s">
        <v>86</v>
      </c>
      <c r="AT18" t="s">
        <v>458</v>
      </c>
      <c r="AU18" t="s">
        <v>459</v>
      </c>
      <c r="AV18" t="s">
        <v>460</v>
      </c>
      <c r="AW18" t="s">
        <v>461</v>
      </c>
      <c r="AX18" t="s">
        <v>462</v>
      </c>
      <c r="AY18" t="s">
        <v>157</v>
      </c>
      <c r="AZ18" t="s">
        <v>65</v>
      </c>
      <c r="BA18" t="s">
        <v>463</v>
      </c>
      <c r="BB18" t="s">
        <v>63</v>
      </c>
    </row>
    <row r="19" spans="1:54" x14ac:dyDescent="0.25">
      <c r="A19" t="s">
        <v>464</v>
      </c>
      <c r="B19" s="2" t="str" cm="1">
        <f t="array" ref="B19">_xlfn.IFS(C19 = "UEFA","Europa",C19= "CONMEBOL","América do Sul",C19= "CAF", "África",C19="AFC", "Ásia",C19="OFC", "Oceania",C19="CONCACAF","América Central e Norte")</f>
        <v>América do Sul</v>
      </c>
      <c r="C19" t="s">
        <v>941</v>
      </c>
      <c r="D19" t="s">
        <v>210</v>
      </c>
      <c r="E19" t="s">
        <v>82</v>
      </c>
      <c r="F19" t="s">
        <v>103</v>
      </c>
      <c r="G19" t="s">
        <v>53</v>
      </c>
      <c r="H19" t="s">
        <v>164</v>
      </c>
      <c r="I19" t="s">
        <v>465</v>
      </c>
      <c r="J19" t="s">
        <v>466</v>
      </c>
      <c r="K19" t="s">
        <v>467</v>
      </c>
      <c r="L19" t="s">
        <v>468</v>
      </c>
      <c r="M19" t="s">
        <v>73</v>
      </c>
      <c r="N19" t="s">
        <v>157</v>
      </c>
      <c r="O19" t="s">
        <v>86</v>
      </c>
      <c r="P19" t="s">
        <v>237</v>
      </c>
      <c r="Q19" t="s">
        <v>86</v>
      </c>
      <c r="R19" t="s">
        <v>200</v>
      </c>
      <c r="S19" t="s">
        <v>279</v>
      </c>
      <c r="T19" t="s">
        <v>279</v>
      </c>
      <c r="U19" t="s">
        <v>469</v>
      </c>
      <c r="V19" t="s">
        <v>310</v>
      </c>
      <c r="W19" t="s">
        <v>279</v>
      </c>
      <c r="X19" t="s">
        <v>105</v>
      </c>
      <c r="Y19" t="s">
        <v>103</v>
      </c>
      <c r="Z19" t="s">
        <v>55</v>
      </c>
      <c r="AA19" t="s">
        <v>470</v>
      </c>
      <c r="AB19" t="s">
        <v>471</v>
      </c>
      <c r="AC19" t="s">
        <v>472</v>
      </c>
      <c r="AD19" t="s">
        <v>473</v>
      </c>
      <c r="AE19" t="s">
        <v>474</v>
      </c>
      <c r="AF19" t="s">
        <v>475</v>
      </c>
      <c r="AG19" t="s">
        <v>128</v>
      </c>
      <c r="AH19" t="s">
        <v>116</v>
      </c>
      <c r="AI19" t="s">
        <v>476</v>
      </c>
      <c r="AJ19" t="s">
        <v>154</v>
      </c>
      <c r="AK19" t="s">
        <v>256</v>
      </c>
      <c r="AL19" t="s">
        <v>64</v>
      </c>
      <c r="AM19" t="s">
        <v>477</v>
      </c>
      <c r="AN19" t="s">
        <v>86</v>
      </c>
      <c r="AO19" t="s">
        <v>58</v>
      </c>
      <c r="AP19" t="s">
        <v>86</v>
      </c>
      <c r="AQ19" t="s">
        <v>58</v>
      </c>
      <c r="AR19" t="s">
        <v>86</v>
      </c>
      <c r="AS19" t="s">
        <v>58</v>
      </c>
      <c r="AT19" t="s">
        <v>478</v>
      </c>
      <c r="AU19" t="s">
        <v>479</v>
      </c>
      <c r="AV19" t="s">
        <v>480</v>
      </c>
      <c r="AW19" t="s">
        <v>481</v>
      </c>
      <c r="AX19" t="s">
        <v>482</v>
      </c>
      <c r="AY19" t="s">
        <v>310</v>
      </c>
      <c r="AZ19" t="s">
        <v>227</v>
      </c>
      <c r="BA19" t="s">
        <v>72</v>
      </c>
      <c r="BB19" t="s">
        <v>119</v>
      </c>
    </row>
    <row r="20" spans="1:54" x14ac:dyDescent="0.25">
      <c r="A20" t="s">
        <v>483</v>
      </c>
      <c r="B20" s="2" t="str" cm="1">
        <f t="array" ref="B20">_xlfn.IFS(C20 = "UEFA","Europa",C20= "CONMEBOL","América do Sul",C20= "CAF", "África",C20="AFC", "Ásia",C20="OFC", "Oceania",C20="CONCACAF","América Central e Norte")</f>
        <v>América do Sul</v>
      </c>
      <c r="C20" t="s">
        <v>941</v>
      </c>
      <c r="D20" t="s">
        <v>210</v>
      </c>
      <c r="E20" t="s">
        <v>350</v>
      </c>
      <c r="F20" t="s">
        <v>98</v>
      </c>
      <c r="G20" t="s">
        <v>426</v>
      </c>
      <c r="H20" t="s">
        <v>145</v>
      </c>
      <c r="I20" t="s">
        <v>159</v>
      </c>
      <c r="J20" t="s">
        <v>484</v>
      </c>
      <c r="K20" t="s">
        <v>485</v>
      </c>
      <c r="L20" t="s">
        <v>486</v>
      </c>
      <c r="M20" t="s">
        <v>80</v>
      </c>
      <c r="N20" t="s">
        <v>98</v>
      </c>
      <c r="O20" t="s">
        <v>103</v>
      </c>
      <c r="P20" t="s">
        <v>119</v>
      </c>
      <c r="Q20" t="s">
        <v>342</v>
      </c>
      <c r="R20" t="s">
        <v>248</v>
      </c>
      <c r="S20" t="s">
        <v>106</v>
      </c>
      <c r="T20" t="s">
        <v>71</v>
      </c>
      <c r="U20" t="s">
        <v>177</v>
      </c>
      <c r="V20" t="s">
        <v>55</v>
      </c>
      <c r="W20" t="s">
        <v>166</v>
      </c>
      <c r="X20" t="s">
        <v>487</v>
      </c>
      <c r="Y20" t="s">
        <v>103</v>
      </c>
      <c r="Z20" t="s">
        <v>66</v>
      </c>
      <c r="AA20" t="s">
        <v>488</v>
      </c>
      <c r="AB20" t="s">
        <v>489</v>
      </c>
      <c r="AC20" t="s">
        <v>490</v>
      </c>
      <c r="AD20" t="s">
        <v>491</v>
      </c>
      <c r="AE20" t="s">
        <v>492</v>
      </c>
      <c r="AF20" t="s">
        <v>493</v>
      </c>
      <c r="AG20" t="s">
        <v>53</v>
      </c>
      <c r="AH20" t="s">
        <v>126</v>
      </c>
      <c r="AI20" t="s">
        <v>494</v>
      </c>
      <c r="AJ20" t="s">
        <v>55</v>
      </c>
      <c r="AK20" t="s">
        <v>423</v>
      </c>
      <c r="AL20" t="s">
        <v>177</v>
      </c>
      <c r="AM20" t="s">
        <v>495</v>
      </c>
      <c r="AN20" t="s">
        <v>97</v>
      </c>
      <c r="AO20" t="s">
        <v>58</v>
      </c>
      <c r="AP20" t="s">
        <v>63</v>
      </c>
      <c r="AQ20" t="s">
        <v>86</v>
      </c>
      <c r="AR20" t="s">
        <v>58</v>
      </c>
      <c r="AS20" t="s">
        <v>86</v>
      </c>
      <c r="AT20" t="s">
        <v>496</v>
      </c>
      <c r="AU20" t="s">
        <v>497</v>
      </c>
      <c r="AV20" t="s">
        <v>498</v>
      </c>
      <c r="AW20" t="s">
        <v>499</v>
      </c>
      <c r="AX20" t="s">
        <v>494</v>
      </c>
      <c r="AY20" t="s">
        <v>218</v>
      </c>
      <c r="AZ20" t="s">
        <v>145</v>
      </c>
      <c r="BA20" t="s">
        <v>500</v>
      </c>
      <c r="BB20" t="s">
        <v>163</v>
      </c>
    </row>
    <row r="21" spans="1:54" x14ac:dyDescent="0.25">
      <c r="A21" t="s">
        <v>501</v>
      </c>
      <c r="B21" s="2" t="str" cm="1">
        <f t="array" ref="B21">_xlfn.IFS(C21 = "UEFA","Europa",C21= "CONMEBOL","América do Sul",C21= "CAF", "África",C21="AFC", "Ásia",C21="OFC", "Oceania",C21="CONCACAF","América Central e Norte")</f>
        <v>América do Sul</v>
      </c>
      <c r="C21" t="s">
        <v>941</v>
      </c>
      <c r="D21" t="s">
        <v>210</v>
      </c>
      <c r="E21" t="s">
        <v>502</v>
      </c>
      <c r="F21" t="s">
        <v>53</v>
      </c>
      <c r="G21" t="s">
        <v>405</v>
      </c>
      <c r="H21" t="s">
        <v>93</v>
      </c>
      <c r="I21" t="s">
        <v>58</v>
      </c>
      <c r="J21" t="s">
        <v>503</v>
      </c>
      <c r="K21" t="s">
        <v>504</v>
      </c>
      <c r="L21" t="s">
        <v>505</v>
      </c>
      <c r="M21" t="s">
        <v>82</v>
      </c>
      <c r="N21" t="s">
        <v>82</v>
      </c>
      <c r="O21" t="s">
        <v>63</v>
      </c>
      <c r="P21" t="s">
        <v>129</v>
      </c>
      <c r="Q21" t="s">
        <v>119</v>
      </c>
      <c r="R21" t="s">
        <v>506</v>
      </c>
      <c r="S21" t="s">
        <v>138</v>
      </c>
      <c r="T21" t="s">
        <v>507</v>
      </c>
      <c r="U21" t="s">
        <v>64</v>
      </c>
      <c r="V21" t="s">
        <v>217</v>
      </c>
      <c r="W21" t="s">
        <v>108</v>
      </c>
      <c r="X21" t="s">
        <v>508</v>
      </c>
      <c r="Y21" t="s">
        <v>55</v>
      </c>
      <c r="Z21" t="s">
        <v>56</v>
      </c>
      <c r="AA21" t="s">
        <v>509</v>
      </c>
      <c r="AB21" t="s">
        <v>510</v>
      </c>
      <c r="AC21" t="s">
        <v>511</v>
      </c>
      <c r="AD21" t="s">
        <v>512</v>
      </c>
      <c r="AE21" t="s">
        <v>513</v>
      </c>
      <c r="AF21" t="s">
        <v>514</v>
      </c>
      <c r="AG21" t="s">
        <v>56</v>
      </c>
      <c r="AH21" t="s">
        <v>342</v>
      </c>
      <c r="AI21" t="s">
        <v>66</v>
      </c>
      <c r="AJ21" t="s">
        <v>55</v>
      </c>
      <c r="AK21" t="s">
        <v>98</v>
      </c>
      <c r="AL21" t="s">
        <v>93</v>
      </c>
      <c r="AM21" t="s">
        <v>120</v>
      </c>
      <c r="AN21" t="s">
        <v>73</v>
      </c>
      <c r="AO21" t="s">
        <v>86</v>
      </c>
      <c r="AP21" t="s">
        <v>63</v>
      </c>
      <c r="AQ21" t="s">
        <v>63</v>
      </c>
      <c r="AR21" t="s">
        <v>63</v>
      </c>
      <c r="AS21" t="s">
        <v>73</v>
      </c>
      <c r="AT21" t="s">
        <v>515</v>
      </c>
      <c r="AU21" t="s">
        <v>516</v>
      </c>
      <c r="AV21" t="s">
        <v>517</v>
      </c>
      <c r="AW21" t="s">
        <v>518</v>
      </c>
      <c r="AX21" t="s">
        <v>519</v>
      </c>
      <c r="AY21" t="s">
        <v>108</v>
      </c>
      <c r="AZ21" t="s">
        <v>93</v>
      </c>
      <c r="BA21" t="s">
        <v>200</v>
      </c>
      <c r="BB21" t="s">
        <v>65</v>
      </c>
    </row>
    <row r="22" spans="1:54" x14ac:dyDescent="0.25">
      <c r="A22" t="s">
        <v>520</v>
      </c>
      <c r="B22" s="2" t="str" cm="1">
        <f t="array" ref="B22">_xlfn.IFS(C22 = "UEFA","Europa",C22= "CONMEBOL","América do Sul",C22= "CAF", "África",C22="AFC", "Ásia",C22="OFC", "Oceania",C22="CONCACAF","América Central e Norte")</f>
        <v>América do Sul</v>
      </c>
      <c r="C22" t="s">
        <v>941</v>
      </c>
      <c r="D22" t="s">
        <v>210</v>
      </c>
      <c r="E22" t="s">
        <v>521</v>
      </c>
      <c r="F22" t="s">
        <v>210</v>
      </c>
      <c r="G22" t="s">
        <v>350</v>
      </c>
      <c r="H22" t="s">
        <v>237</v>
      </c>
      <c r="I22" t="s">
        <v>284</v>
      </c>
      <c r="J22" t="s">
        <v>522</v>
      </c>
      <c r="K22" t="s">
        <v>523</v>
      </c>
      <c r="L22" t="s">
        <v>524</v>
      </c>
      <c r="M22" t="s">
        <v>62</v>
      </c>
      <c r="N22" t="s">
        <v>82</v>
      </c>
      <c r="O22" t="s">
        <v>62</v>
      </c>
      <c r="P22" t="s">
        <v>95</v>
      </c>
      <c r="Q22" t="s">
        <v>93</v>
      </c>
      <c r="R22" t="s">
        <v>463</v>
      </c>
      <c r="S22" t="s">
        <v>67</v>
      </c>
      <c r="T22" t="s">
        <v>67</v>
      </c>
      <c r="U22" t="s">
        <v>238</v>
      </c>
      <c r="V22" t="s">
        <v>291</v>
      </c>
      <c r="W22" t="s">
        <v>69</v>
      </c>
      <c r="X22" t="s">
        <v>525</v>
      </c>
      <c r="Y22" t="s">
        <v>157</v>
      </c>
      <c r="Z22" t="s">
        <v>405</v>
      </c>
      <c r="AA22" t="s">
        <v>526</v>
      </c>
      <c r="AB22" t="s">
        <v>527</v>
      </c>
      <c r="AC22" t="s">
        <v>528</v>
      </c>
      <c r="AD22" t="s">
        <v>529</v>
      </c>
      <c r="AE22" t="s">
        <v>530</v>
      </c>
      <c r="AF22" t="s">
        <v>531</v>
      </c>
      <c r="AG22" t="s">
        <v>62</v>
      </c>
      <c r="AH22" t="s">
        <v>86</v>
      </c>
      <c r="AI22" t="s">
        <v>532</v>
      </c>
      <c r="AJ22" t="s">
        <v>291</v>
      </c>
      <c r="AK22" t="s">
        <v>174</v>
      </c>
      <c r="AL22" t="s">
        <v>95</v>
      </c>
      <c r="AM22" t="s">
        <v>203</v>
      </c>
      <c r="AN22" t="s">
        <v>97</v>
      </c>
      <c r="AO22" t="s">
        <v>63</v>
      </c>
      <c r="AP22" t="s">
        <v>63</v>
      </c>
      <c r="AQ22" t="s">
        <v>63</v>
      </c>
      <c r="AR22" t="s">
        <v>63</v>
      </c>
      <c r="AS22" t="s">
        <v>80</v>
      </c>
      <c r="AT22" t="s">
        <v>533</v>
      </c>
      <c r="AU22" t="s">
        <v>534</v>
      </c>
      <c r="AV22" t="s">
        <v>535</v>
      </c>
      <c r="AW22" t="s">
        <v>536</v>
      </c>
      <c r="AX22" t="s">
        <v>54</v>
      </c>
      <c r="AY22" t="s">
        <v>190</v>
      </c>
      <c r="AZ22" t="s">
        <v>163</v>
      </c>
      <c r="BA22" t="s">
        <v>532</v>
      </c>
      <c r="BB22" t="s">
        <v>63</v>
      </c>
    </row>
    <row r="23" spans="1:54" x14ac:dyDescent="0.25">
      <c r="A23" t="s">
        <v>537</v>
      </c>
      <c r="B23" s="2" t="str" cm="1">
        <f t="array" ref="B23">_xlfn.IFS(C23 = "UEFA","Europa",C23= "CONMEBOL","América do Sul",C23= "CAF", "África",C23="AFC", "Ásia",C23="OFC", "Oceania",C23="CONCACAF","América Central e Norte")</f>
        <v>África</v>
      </c>
      <c r="C23" t="s">
        <v>942</v>
      </c>
      <c r="D23" t="s">
        <v>73</v>
      </c>
      <c r="E23" t="s">
        <v>97</v>
      </c>
      <c r="F23" t="s">
        <v>97</v>
      </c>
      <c r="G23" t="s">
        <v>73</v>
      </c>
      <c r="H23" t="s">
        <v>104</v>
      </c>
      <c r="I23" t="s">
        <v>159</v>
      </c>
      <c r="J23" t="s">
        <v>538</v>
      </c>
      <c r="K23" t="s">
        <v>539</v>
      </c>
      <c r="L23" t="s">
        <v>540</v>
      </c>
      <c r="M23" t="s">
        <v>86</v>
      </c>
      <c r="N23" t="s">
        <v>73</v>
      </c>
      <c r="O23" t="s">
        <v>86</v>
      </c>
      <c r="P23" t="s">
        <v>136</v>
      </c>
      <c r="Q23" t="s">
        <v>227</v>
      </c>
      <c r="R23" t="s">
        <v>541</v>
      </c>
      <c r="S23" t="s">
        <v>191</v>
      </c>
      <c r="T23" t="s">
        <v>190</v>
      </c>
      <c r="U23" t="s">
        <v>324</v>
      </c>
      <c r="V23" t="s">
        <v>134</v>
      </c>
      <c r="W23" t="s">
        <v>108</v>
      </c>
      <c r="X23" t="s">
        <v>542</v>
      </c>
      <c r="Y23" t="s">
        <v>86</v>
      </c>
      <c r="Z23" t="s">
        <v>86</v>
      </c>
      <c r="AA23" t="s">
        <v>543</v>
      </c>
      <c r="AB23" t="s">
        <v>544</v>
      </c>
      <c r="AC23" t="s">
        <v>545</v>
      </c>
      <c r="AD23" t="s">
        <v>546</v>
      </c>
      <c r="AE23" t="s">
        <v>547</v>
      </c>
      <c r="AF23" t="s">
        <v>548</v>
      </c>
      <c r="AG23" t="s">
        <v>58</v>
      </c>
      <c r="AH23" t="s">
        <v>104</v>
      </c>
      <c r="AI23" t="s">
        <v>549</v>
      </c>
      <c r="AJ23" t="s">
        <v>103</v>
      </c>
      <c r="AK23" t="s">
        <v>550</v>
      </c>
      <c r="AL23" t="s">
        <v>99</v>
      </c>
      <c r="AM23" t="s">
        <v>551</v>
      </c>
      <c r="AN23" t="s">
        <v>86</v>
      </c>
      <c r="AO23" t="s">
        <v>58</v>
      </c>
      <c r="AP23" t="s">
        <v>86</v>
      </c>
      <c r="AQ23" t="s">
        <v>86</v>
      </c>
      <c r="AR23" t="s">
        <v>58</v>
      </c>
      <c r="AS23" t="s">
        <v>58</v>
      </c>
      <c r="AT23" t="s">
        <v>552</v>
      </c>
      <c r="AU23" t="s">
        <v>553</v>
      </c>
      <c r="AV23" t="s">
        <v>554</v>
      </c>
      <c r="AW23" t="s">
        <v>555</v>
      </c>
      <c r="AX23" t="s">
        <v>462</v>
      </c>
      <c r="AY23" t="s">
        <v>83</v>
      </c>
      <c r="AZ23" t="s">
        <v>99</v>
      </c>
      <c r="BA23" t="s">
        <v>440</v>
      </c>
      <c r="BB23" t="s">
        <v>95</v>
      </c>
    </row>
    <row r="24" spans="1:54" x14ac:dyDescent="0.25">
      <c r="A24" t="s">
        <v>556</v>
      </c>
      <c r="B24" s="2" t="str" cm="1">
        <f t="array" ref="B24">_xlfn.IFS(C24 = "UEFA","Europa",C24= "CONMEBOL","América do Sul",C24= "CAF", "África",C24="AFC", "Ásia",C24="OFC", "Oceania",C24="CONCACAF","América Central e Norte")</f>
        <v>África</v>
      </c>
      <c r="C24" t="s">
        <v>942</v>
      </c>
      <c r="D24" t="s">
        <v>62</v>
      </c>
      <c r="E24" t="s">
        <v>55</v>
      </c>
      <c r="F24" t="s">
        <v>63</v>
      </c>
      <c r="G24" t="s">
        <v>157</v>
      </c>
      <c r="H24" t="s">
        <v>119</v>
      </c>
      <c r="I24" t="s">
        <v>557</v>
      </c>
      <c r="J24" t="s">
        <v>484</v>
      </c>
      <c r="K24" t="s">
        <v>558</v>
      </c>
      <c r="L24" t="s">
        <v>329</v>
      </c>
      <c r="M24" t="s">
        <v>103</v>
      </c>
      <c r="N24" t="s">
        <v>80</v>
      </c>
      <c r="O24" t="s">
        <v>86</v>
      </c>
      <c r="P24" t="s">
        <v>80</v>
      </c>
      <c r="Q24" t="s">
        <v>99</v>
      </c>
      <c r="R24" t="s">
        <v>559</v>
      </c>
      <c r="S24" t="s">
        <v>433</v>
      </c>
      <c r="T24" t="s">
        <v>298</v>
      </c>
      <c r="U24" t="s">
        <v>71</v>
      </c>
      <c r="V24" t="s">
        <v>560</v>
      </c>
      <c r="W24" t="s">
        <v>97</v>
      </c>
      <c r="X24" t="s">
        <v>561</v>
      </c>
      <c r="Y24" t="s">
        <v>63</v>
      </c>
      <c r="Z24" t="s">
        <v>73</v>
      </c>
      <c r="AA24" t="s">
        <v>562</v>
      </c>
      <c r="AB24" t="s">
        <v>563</v>
      </c>
      <c r="AC24" t="s">
        <v>564</v>
      </c>
      <c r="AD24" t="s">
        <v>565</v>
      </c>
      <c r="AE24" t="s">
        <v>566</v>
      </c>
      <c r="AF24" t="s">
        <v>567</v>
      </c>
      <c r="AG24" t="s">
        <v>103</v>
      </c>
      <c r="AH24" t="s">
        <v>116</v>
      </c>
      <c r="AI24" t="s">
        <v>330</v>
      </c>
      <c r="AJ24" t="s">
        <v>68</v>
      </c>
      <c r="AK24" t="s">
        <v>568</v>
      </c>
      <c r="AL24" t="s">
        <v>65</v>
      </c>
      <c r="AM24" t="s">
        <v>569</v>
      </c>
      <c r="AN24" t="s">
        <v>58</v>
      </c>
      <c r="AO24" t="s">
        <v>86</v>
      </c>
      <c r="AP24" t="s">
        <v>86</v>
      </c>
      <c r="AQ24" t="s">
        <v>86</v>
      </c>
      <c r="AR24" t="s">
        <v>58</v>
      </c>
      <c r="AS24" t="s">
        <v>58</v>
      </c>
      <c r="AT24" t="s">
        <v>570</v>
      </c>
      <c r="AU24" t="s">
        <v>571</v>
      </c>
      <c r="AV24" t="s">
        <v>572</v>
      </c>
      <c r="AW24" t="s">
        <v>573</v>
      </c>
      <c r="AX24" t="s">
        <v>574</v>
      </c>
      <c r="AY24" t="s">
        <v>507</v>
      </c>
      <c r="AZ24" t="s">
        <v>93</v>
      </c>
      <c r="BA24" t="s">
        <v>575</v>
      </c>
      <c r="BB24" t="s">
        <v>65</v>
      </c>
    </row>
    <row r="25" spans="1:54" x14ac:dyDescent="0.25">
      <c r="A25" t="s">
        <v>576</v>
      </c>
      <c r="B25" s="2" t="str" cm="1">
        <f t="array" ref="B25">_xlfn.IFS(C25 = "UEFA","Europa",C25= "CONMEBOL","América do Sul",C25= "CAF", "África",C25="AFC", "Ásia",C25="OFC", "Oceania",C25="CONCACAF","América Central e Norte")</f>
        <v>África</v>
      </c>
      <c r="C25" t="s">
        <v>942</v>
      </c>
      <c r="D25" t="s">
        <v>103</v>
      </c>
      <c r="E25" t="s">
        <v>53</v>
      </c>
      <c r="F25" t="s">
        <v>97</v>
      </c>
      <c r="G25" t="s">
        <v>97</v>
      </c>
      <c r="H25" t="s">
        <v>63</v>
      </c>
      <c r="I25" t="s">
        <v>58</v>
      </c>
      <c r="J25" t="s">
        <v>160</v>
      </c>
      <c r="K25" t="s">
        <v>577</v>
      </c>
      <c r="L25" t="s">
        <v>578</v>
      </c>
      <c r="M25" t="s">
        <v>80</v>
      </c>
      <c r="N25" t="s">
        <v>73</v>
      </c>
      <c r="O25" t="s">
        <v>63</v>
      </c>
      <c r="P25" t="s">
        <v>106</v>
      </c>
      <c r="Q25" t="s">
        <v>63</v>
      </c>
      <c r="R25" t="s">
        <v>579</v>
      </c>
      <c r="S25" t="s">
        <v>73</v>
      </c>
      <c r="T25" t="s">
        <v>331</v>
      </c>
      <c r="U25" t="s">
        <v>103</v>
      </c>
      <c r="V25" t="s">
        <v>53</v>
      </c>
      <c r="W25" t="s">
        <v>291</v>
      </c>
      <c r="X25" t="s">
        <v>98</v>
      </c>
      <c r="Y25" t="s">
        <v>63</v>
      </c>
      <c r="Z25" t="s">
        <v>103</v>
      </c>
      <c r="AA25" t="s">
        <v>580</v>
      </c>
      <c r="AB25" t="s">
        <v>581</v>
      </c>
      <c r="AC25" t="s">
        <v>582</v>
      </c>
      <c r="AD25" t="s">
        <v>583</v>
      </c>
      <c r="AE25" t="s">
        <v>584</v>
      </c>
      <c r="AF25" t="s">
        <v>585</v>
      </c>
      <c r="AG25" t="s">
        <v>63</v>
      </c>
      <c r="AH25" t="s">
        <v>145</v>
      </c>
      <c r="AI25" t="s">
        <v>549</v>
      </c>
      <c r="AJ25" t="s">
        <v>333</v>
      </c>
      <c r="AK25" t="s">
        <v>586</v>
      </c>
      <c r="AL25" t="s">
        <v>237</v>
      </c>
      <c r="AM25" t="s">
        <v>587</v>
      </c>
      <c r="AN25" t="s">
        <v>80</v>
      </c>
      <c r="AO25" t="s">
        <v>63</v>
      </c>
      <c r="AP25" t="s">
        <v>58</v>
      </c>
      <c r="AQ25" t="s">
        <v>58</v>
      </c>
      <c r="AR25" t="s">
        <v>58</v>
      </c>
      <c r="AS25" t="s">
        <v>86</v>
      </c>
      <c r="AT25" t="s">
        <v>588</v>
      </c>
      <c r="AU25" t="s">
        <v>589</v>
      </c>
      <c r="AV25" t="s">
        <v>590</v>
      </c>
      <c r="AW25" t="s">
        <v>591</v>
      </c>
      <c r="AX25" t="s">
        <v>66</v>
      </c>
      <c r="AY25" t="s">
        <v>68</v>
      </c>
      <c r="AZ25" t="s">
        <v>164</v>
      </c>
      <c r="BA25" t="s">
        <v>494</v>
      </c>
      <c r="BB25" t="s">
        <v>145</v>
      </c>
    </row>
    <row r="26" spans="1:54" x14ac:dyDescent="0.25">
      <c r="A26" t="s">
        <v>592</v>
      </c>
      <c r="B26" s="2" t="str" cm="1">
        <f t="array" ref="B26">_xlfn.IFS(C26 = "UEFA","Europa",C26= "CONMEBOL","América do Sul",C26= "CAF", "África",C26="AFC", "Ásia",C26="OFC", "Oceania",C26="CONCACAF","América Central e Norte")</f>
        <v>África</v>
      </c>
      <c r="C26" t="s">
        <v>942</v>
      </c>
      <c r="D26" t="s">
        <v>73</v>
      </c>
      <c r="E26" t="s">
        <v>62</v>
      </c>
      <c r="F26" t="s">
        <v>97</v>
      </c>
      <c r="G26" t="s">
        <v>73</v>
      </c>
      <c r="H26" t="s">
        <v>227</v>
      </c>
      <c r="I26" t="s">
        <v>100</v>
      </c>
      <c r="J26" t="s">
        <v>538</v>
      </c>
      <c r="K26" t="s">
        <v>593</v>
      </c>
      <c r="L26" t="s">
        <v>466</v>
      </c>
      <c r="M26" t="s">
        <v>86</v>
      </c>
      <c r="N26" t="s">
        <v>80</v>
      </c>
      <c r="O26" t="s">
        <v>80</v>
      </c>
      <c r="P26" t="s">
        <v>227</v>
      </c>
      <c r="Q26" t="s">
        <v>199</v>
      </c>
      <c r="R26" t="s">
        <v>594</v>
      </c>
      <c r="S26" t="s">
        <v>283</v>
      </c>
      <c r="T26" t="s">
        <v>67</v>
      </c>
      <c r="U26" t="s">
        <v>227</v>
      </c>
      <c r="V26" t="s">
        <v>56</v>
      </c>
      <c r="W26" t="s">
        <v>83</v>
      </c>
      <c r="X26" t="s">
        <v>128</v>
      </c>
      <c r="Y26" t="s">
        <v>86</v>
      </c>
      <c r="Z26" t="s">
        <v>80</v>
      </c>
      <c r="AA26" t="s">
        <v>595</v>
      </c>
      <c r="AB26" t="s">
        <v>596</v>
      </c>
      <c r="AC26" t="s">
        <v>597</v>
      </c>
      <c r="AD26" t="s">
        <v>598</v>
      </c>
      <c r="AE26" t="s">
        <v>599</v>
      </c>
      <c r="AF26" t="s">
        <v>600</v>
      </c>
      <c r="AG26" t="s">
        <v>58</v>
      </c>
      <c r="AH26" t="s">
        <v>104</v>
      </c>
      <c r="AI26" t="s">
        <v>440</v>
      </c>
      <c r="AJ26" t="s">
        <v>239</v>
      </c>
      <c r="AK26" t="s">
        <v>462</v>
      </c>
      <c r="AL26" t="s">
        <v>164</v>
      </c>
      <c r="AM26" t="s">
        <v>601</v>
      </c>
      <c r="AN26" t="s">
        <v>86</v>
      </c>
      <c r="AO26" t="s">
        <v>86</v>
      </c>
      <c r="AP26" t="s">
        <v>86</v>
      </c>
      <c r="AQ26" t="s">
        <v>86</v>
      </c>
      <c r="AR26" t="s">
        <v>58</v>
      </c>
      <c r="AS26" t="s">
        <v>58</v>
      </c>
      <c r="AT26" t="s">
        <v>602</v>
      </c>
      <c r="AU26" t="s">
        <v>603</v>
      </c>
      <c r="AV26" t="s">
        <v>604</v>
      </c>
      <c r="AW26" t="s">
        <v>605</v>
      </c>
      <c r="AX26" t="s">
        <v>374</v>
      </c>
      <c r="AY26" t="s">
        <v>201</v>
      </c>
      <c r="AZ26" t="s">
        <v>119</v>
      </c>
      <c r="BA26" t="s">
        <v>606</v>
      </c>
      <c r="BB26" t="s">
        <v>63</v>
      </c>
    </row>
    <row r="27" spans="1:54" x14ac:dyDescent="0.25">
      <c r="A27" t="s">
        <v>607</v>
      </c>
      <c r="B27" s="2" t="str" cm="1">
        <f t="array" ref="B27">_xlfn.IFS(C27 = "UEFA","Europa",C27= "CONMEBOL","América do Sul",C27= "CAF", "África",C27="AFC", "Ásia",C27="OFC", "Oceania",C27="CONCACAF","América Central e Norte")</f>
        <v>África</v>
      </c>
      <c r="C27" t="s">
        <v>942</v>
      </c>
      <c r="D27" t="s">
        <v>62</v>
      </c>
      <c r="E27" t="s">
        <v>55</v>
      </c>
      <c r="F27" t="s">
        <v>103</v>
      </c>
      <c r="G27" t="s">
        <v>157</v>
      </c>
      <c r="H27" t="s">
        <v>119</v>
      </c>
      <c r="I27" t="s">
        <v>159</v>
      </c>
      <c r="J27" t="s">
        <v>538</v>
      </c>
      <c r="K27" t="s">
        <v>608</v>
      </c>
      <c r="L27" t="s">
        <v>609</v>
      </c>
      <c r="M27" t="s">
        <v>73</v>
      </c>
      <c r="N27" t="s">
        <v>80</v>
      </c>
      <c r="O27" t="s">
        <v>63</v>
      </c>
      <c r="P27" t="s">
        <v>64</v>
      </c>
      <c r="Q27" t="s">
        <v>63</v>
      </c>
      <c r="R27" t="s">
        <v>265</v>
      </c>
      <c r="S27" t="s">
        <v>69</v>
      </c>
      <c r="T27" t="s">
        <v>308</v>
      </c>
      <c r="U27" t="s">
        <v>158</v>
      </c>
      <c r="V27" t="s">
        <v>560</v>
      </c>
      <c r="W27" t="s">
        <v>260</v>
      </c>
      <c r="X27" t="s">
        <v>463</v>
      </c>
      <c r="Y27" t="s">
        <v>86</v>
      </c>
      <c r="Z27" t="s">
        <v>73</v>
      </c>
      <c r="AA27" t="s">
        <v>610</v>
      </c>
      <c r="AB27" t="s">
        <v>611</v>
      </c>
      <c r="AC27" t="s">
        <v>612</v>
      </c>
      <c r="AD27" t="s">
        <v>613</v>
      </c>
      <c r="AE27" t="s">
        <v>614</v>
      </c>
      <c r="AF27" t="s">
        <v>615</v>
      </c>
      <c r="AG27" t="s">
        <v>80</v>
      </c>
      <c r="AH27" t="s">
        <v>126</v>
      </c>
      <c r="AI27" t="s">
        <v>350</v>
      </c>
      <c r="AJ27" t="s">
        <v>175</v>
      </c>
      <c r="AK27" t="s">
        <v>616</v>
      </c>
      <c r="AL27" t="s">
        <v>308</v>
      </c>
      <c r="AM27" t="s">
        <v>617</v>
      </c>
      <c r="AN27" t="s">
        <v>80</v>
      </c>
      <c r="AO27" t="s">
        <v>58</v>
      </c>
      <c r="AP27" t="s">
        <v>58</v>
      </c>
      <c r="AQ27" t="s">
        <v>58</v>
      </c>
      <c r="AR27" t="s">
        <v>58</v>
      </c>
      <c r="AS27" t="s">
        <v>58</v>
      </c>
      <c r="AT27" t="s">
        <v>618</v>
      </c>
      <c r="AU27" t="s">
        <v>619</v>
      </c>
      <c r="AV27" t="s">
        <v>620</v>
      </c>
      <c r="AW27" t="s">
        <v>621</v>
      </c>
      <c r="AX27" t="s">
        <v>622</v>
      </c>
      <c r="AY27" t="s">
        <v>331</v>
      </c>
      <c r="AZ27" t="s">
        <v>163</v>
      </c>
      <c r="BA27" t="s">
        <v>416</v>
      </c>
      <c r="BB27" t="s">
        <v>93</v>
      </c>
    </row>
    <row r="28" spans="1:54" x14ac:dyDescent="0.25">
      <c r="A28" t="s">
        <v>624</v>
      </c>
      <c r="B28" s="2" t="str" cm="1">
        <f t="array" ref="B28">_xlfn.IFS(C28 = "UEFA","Europa",C28= "CONMEBOL","América do Sul",C28= "CAF", "África",C28="AFC", "Ásia",C28="OFC", "Oceania",C28="CONCACAF","América Central e Norte")</f>
        <v>África</v>
      </c>
      <c r="C28" t="s">
        <v>942</v>
      </c>
      <c r="D28" t="s">
        <v>62</v>
      </c>
      <c r="E28" t="s">
        <v>128</v>
      </c>
      <c r="F28" t="s">
        <v>63</v>
      </c>
      <c r="G28" t="s">
        <v>55</v>
      </c>
      <c r="H28" t="s">
        <v>57</v>
      </c>
      <c r="I28" t="s">
        <v>159</v>
      </c>
      <c r="J28" t="s">
        <v>538</v>
      </c>
      <c r="K28" t="s">
        <v>625</v>
      </c>
      <c r="L28" t="s">
        <v>626</v>
      </c>
      <c r="M28" t="s">
        <v>97</v>
      </c>
      <c r="N28" t="s">
        <v>97</v>
      </c>
      <c r="O28" t="s">
        <v>86</v>
      </c>
      <c r="P28" t="s">
        <v>211</v>
      </c>
      <c r="Q28" t="s">
        <v>158</v>
      </c>
      <c r="R28" t="s">
        <v>559</v>
      </c>
      <c r="S28" t="s">
        <v>310</v>
      </c>
      <c r="T28" t="s">
        <v>507</v>
      </c>
      <c r="U28" t="s">
        <v>80</v>
      </c>
      <c r="V28" t="s">
        <v>310</v>
      </c>
      <c r="W28" t="s">
        <v>239</v>
      </c>
      <c r="X28" t="s">
        <v>72</v>
      </c>
      <c r="Y28" t="s">
        <v>86</v>
      </c>
      <c r="Z28" t="s">
        <v>82</v>
      </c>
      <c r="AA28" t="s">
        <v>627</v>
      </c>
      <c r="AB28" t="s">
        <v>628</v>
      </c>
      <c r="AC28" t="s">
        <v>629</v>
      </c>
      <c r="AD28" t="s">
        <v>630</v>
      </c>
      <c r="AE28" t="s">
        <v>631</v>
      </c>
      <c r="AF28" t="s">
        <v>632</v>
      </c>
      <c r="AG28" t="s">
        <v>103</v>
      </c>
      <c r="AH28" t="s">
        <v>116</v>
      </c>
      <c r="AI28" t="s">
        <v>118</v>
      </c>
      <c r="AJ28" t="s">
        <v>217</v>
      </c>
      <c r="AK28" t="s">
        <v>633</v>
      </c>
      <c r="AL28" t="s">
        <v>163</v>
      </c>
      <c r="AM28" t="s">
        <v>634</v>
      </c>
      <c r="AN28" t="s">
        <v>63</v>
      </c>
      <c r="AO28" t="s">
        <v>86</v>
      </c>
      <c r="AP28" t="s">
        <v>86</v>
      </c>
      <c r="AQ28" t="s">
        <v>58</v>
      </c>
      <c r="AR28" t="s">
        <v>58</v>
      </c>
      <c r="AS28" t="s">
        <v>73</v>
      </c>
      <c r="AT28" t="s">
        <v>635</v>
      </c>
      <c r="AU28" t="s">
        <v>636</v>
      </c>
      <c r="AV28" t="s">
        <v>637</v>
      </c>
      <c r="AW28" t="s">
        <v>638</v>
      </c>
      <c r="AX28" t="s">
        <v>94</v>
      </c>
      <c r="AY28" t="s">
        <v>103</v>
      </c>
      <c r="AZ28" t="s">
        <v>119</v>
      </c>
      <c r="BA28" t="s">
        <v>94</v>
      </c>
      <c r="BB28" t="s">
        <v>158</v>
      </c>
    </row>
    <row r="29" spans="1:54" x14ac:dyDescent="0.25">
      <c r="A29" t="s">
        <v>639</v>
      </c>
      <c r="B29" s="2" t="str" cm="1">
        <f t="array" ref="B29">_xlfn.IFS(C29 = "UEFA","Europa",C29= "CONMEBOL","América do Sul",C29= "CAF", "África",C29="AFC", "Ásia",C29="OFC", "Oceania",C29="CONCACAF","América Central e Norte")</f>
        <v>África</v>
      </c>
      <c r="C29" t="s">
        <v>942</v>
      </c>
      <c r="D29" t="s">
        <v>103</v>
      </c>
      <c r="E29" t="s">
        <v>157</v>
      </c>
      <c r="F29" t="s">
        <v>80</v>
      </c>
      <c r="G29" t="s">
        <v>62</v>
      </c>
      <c r="H29" t="s">
        <v>237</v>
      </c>
      <c r="I29" t="s">
        <v>159</v>
      </c>
      <c r="J29" t="s">
        <v>160</v>
      </c>
      <c r="K29" t="s">
        <v>640</v>
      </c>
      <c r="L29" t="s">
        <v>641</v>
      </c>
      <c r="M29" t="s">
        <v>73</v>
      </c>
      <c r="N29" t="s">
        <v>63</v>
      </c>
      <c r="O29" t="s">
        <v>63</v>
      </c>
      <c r="P29" t="s">
        <v>95</v>
      </c>
      <c r="Q29" t="s">
        <v>227</v>
      </c>
      <c r="R29" t="s">
        <v>56</v>
      </c>
      <c r="S29" t="s">
        <v>134</v>
      </c>
      <c r="T29" t="s">
        <v>73</v>
      </c>
      <c r="U29" t="s">
        <v>129</v>
      </c>
      <c r="V29" t="s">
        <v>642</v>
      </c>
      <c r="W29" t="s">
        <v>134</v>
      </c>
      <c r="X29" t="s">
        <v>508</v>
      </c>
      <c r="Y29" t="s">
        <v>63</v>
      </c>
      <c r="Z29" t="s">
        <v>157</v>
      </c>
      <c r="AA29" t="s">
        <v>470</v>
      </c>
      <c r="AB29" t="s">
        <v>643</v>
      </c>
      <c r="AC29" t="s">
        <v>644</v>
      </c>
      <c r="AD29" t="s">
        <v>645</v>
      </c>
      <c r="AE29" t="s">
        <v>646</v>
      </c>
      <c r="AF29" t="s">
        <v>647</v>
      </c>
      <c r="AG29" t="s">
        <v>80</v>
      </c>
      <c r="AH29" t="s">
        <v>342</v>
      </c>
      <c r="AI29" t="s">
        <v>210</v>
      </c>
      <c r="AJ29" t="s">
        <v>525</v>
      </c>
      <c r="AK29" t="s">
        <v>561</v>
      </c>
      <c r="AL29" t="s">
        <v>129</v>
      </c>
      <c r="AM29" t="s">
        <v>648</v>
      </c>
      <c r="AN29" t="s">
        <v>80</v>
      </c>
      <c r="AO29" t="s">
        <v>58</v>
      </c>
      <c r="AP29" t="s">
        <v>58</v>
      </c>
      <c r="AQ29" t="s">
        <v>58</v>
      </c>
      <c r="AR29" t="s">
        <v>58</v>
      </c>
      <c r="AS29" t="s">
        <v>86</v>
      </c>
      <c r="AT29" t="s">
        <v>649</v>
      </c>
      <c r="AU29" t="s">
        <v>650</v>
      </c>
      <c r="AV29" t="s">
        <v>651</v>
      </c>
      <c r="AW29" t="s">
        <v>652</v>
      </c>
      <c r="AX29" t="s">
        <v>66</v>
      </c>
      <c r="AY29" t="s">
        <v>62</v>
      </c>
      <c r="AZ29" t="s">
        <v>145</v>
      </c>
      <c r="BA29" t="s">
        <v>54</v>
      </c>
      <c r="BB29" t="s">
        <v>129</v>
      </c>
    </row>
    <row r="30" spans="1:54" x14ac:dyDescent="0.25">
      <c r="A30" t="s">
        <v>653</v>
      </c>
      <c r="B30" s="2" t="str" cm="1">
        <f t="array" ref="B30">_xlfn.IFS(C30 = "UEFA","Europa",C30= "CONMEBOL","América do Sul",C30= "CAF", "África",C30="AFC", "Ásia",C30="OFC", "Oceania",C30="CONCACAF","América Central e Norte")</f>
        <v>África</v>
      </c>
      <c r="C30" t="s">
        <v>942</v>
      </c>
      <c r="D30" t="s">
        <v>86</v>
      </c>
      <c r="E30" t="s">
        <v>86</v>
      </c>
      <c r="F30" t="s">
        <v>58</v>
      </c>
      <c r="G30" t="s">
        <v>58</v>
      </c>
      <c r="H30" t="s">
        <v>86</v>
      </c>
      <c r="I30" t="s">
        <v>58</v>
      </c>
      <c r="J30" t="s">
        <v>130</v>
      </c>
      <c r="K30" t="s">
        <v>503</v>
      </c>
      <c r="L30" t="s">
        <v>448</v>
      </c>
      <c r="M30" t="s">
        <v>58</v>
      </c>
      <c r="N30" t="s">
        <v>58</v>
      </c>
      <c r="O30" t="s">
        <v>58</v>
      </c>
      <c r="P30" t="s">
        <v>80</v>
      </c>
      <c r="Q30" t="s">
        <v>63</v>
      </c>
      <c r="R30" t="s">
        <v>54</v>
      </c>
      <c r="S30" t="s">
        <v>80</v>
      </c>
      <c r="T30" t="s">
        <v>53</v>
      </c>
      <c r="U30" t="s">
        <v>97</v>
      </c>
      <c r="V30" t="s">
        <v>98</v>
      </c>
      <c r="W30" t="s">
        <v>103</v>
      </c>
      <c r="X30" t="s">
        <v>128</v>
      </c>
      <c r="Y30" t="s">
        <v>86</v>
      </c>
      <c r="Z30" t="s">
        <v>86</v>
      </c>
      <c r="AA30" t="s">
        <v>654</v>
      </c>
      <c r="AB30" t="s">
        <v>655</v>
      </c>
      <c r="AC30" t="s">
        <v>656</v>
      </c>
      <c r="AD30" t="s">
        <v>657</v>
      </c>
      <c r="AE30" t="s">
        <v>658</v>
      </c>
      <c r="AF30" t="s">
        <v>659</v>
      </c>
      <c r="AG30" t="s">
        <v>86</v>
      </c>
      <c r="AH30" t="s">
        <v>58</v>
      </c>
      <c r="AI30" t="s">
        <v>282</v>
      </c>
      <c r="AJ30" t="s">
        <v>157</v>
      </c>
      <c r="AK30" t="s">
        <v>405</v>
      </c>
      <c r="AL30" t="s">
        <v>86</v>
      </c>
      <c r="AM30" t="s">
        <v>660</v>
      </c>
      <c r="AN30" t="s">
        <v>86</v>
      </c>
      <c r="AO30" t="s">
        <v>58</v>
      </c>
      <c r="AP30" t="s">
        <v>58</v>
      </c>
      <c r="AQ30" t="s">
        <v>58</v>
      </c>
      <c r="AR30" t="s">
        <v>58</v>
      </c>
      <c r="AS30" t="s">
        <v>58</v>
      </c>
      <c r="AT30" t="s">
        <v>661</v>
      </c>
      <c r="AU30" t="s">
        <v>662</v>
      </c>
      <c r="AV30" t="s">
        <v>663</v>
      </c>
      <c r="AW30" t="s">
        <v>664</v>
      </c>
      <c r="AX30" t="s">
        <v>259</v>
      </c>
      <c r="AY30" t="s">
        <v>53</v>
      </c>
      <c r="AZ30" t="s">
        <v>157</v>
      </c>
      <c r="BA30" t="s">
        <v>66</v>
      </c>
      <c r="BB30" t="s">
        <v>58</v>
      </c>
    </row>
    <row r="31" spans="1:54" x14ac:dyDescent="0.25">
      <c r="A31" t="s">
        <v>666</v>
      </c>
      <c r="B31" s="2" t="str" cm="1">
        <f t="array" ref="B31">_xlfn.IFS(C31 = "UEFA","Europa",C31= "CONMEBOL","América do Sul",C31= "CAF", "África",C31="AFC", "Ásia",C31="OFC", "Oceania",C31="CONCACAF","América Central e Norte")</f>
        <v>Ásia</v>
      </c>
      <c r="C31" t="s">
        <v>943</v>
      </c>
      <c r="D31" t="s">
        <v>80</v>
      </c>
      <c r="E31" t="s">
        <v>86</v>
      </c>
      <c r="F31" t="s">
        <v>103</v>
      </c>
      <c r="G31" t="s">
        <v>86</v>
      </c>
      <c r="H31" t="s">
        <v>116</v>
      </c>
      <c r="I31" t="s">
        <v>58</v>
      </c>
      <c r="J31" t="s">
        <v>59</v>
      </c>
      <c r="K31" t="s">
        <v>667</v>
      </c>
      <c r="L31" t="s">
        <v>236</v>
      </c>
      <c r="M31" t="s">
        <v>58</v>
      </c>
      <c r="N31" t="s">
        <v>58</v>
      </c>
      <c r="O31" t="s">
        <v>86</v>
      </c>
      <c r="P31" t="s">
        <v>63</v>
      </c>
      <c r="Q31" t="s">
        <v>93</v>
      </c>
      <c r="R31" t="s">
        <v>128</v>
      </c>
      <c r="S31" t="s">
        <v>73</v>
      </c>
      <c r="T31" t="s">
        <v>239</v>
      </c>
      <c r="U31" t="s">
        <v>64</v>
      </c>
      <c r="V31" t="s">
        <v>507</v>
      </c>
      <c r="W31" t="s">
        <v>310</v>
      </c>
      <c r="X31" t="s">
        <v>98</v>
      </c>
      <c r="Y31" t="s">
        <v>63</v>
      </c>
      <c r="Z31" t="s">
        <v>58</v>
      </c>
      <c r="AA31" t="s">
        <v>668</v>
      </c>
      <c r="AB31" t="s">
        <v>669</v>
      </c>
      <c r="AC31" t="s">
        <v>670</v>
      </c>
      <c r="AD31" t="s">
        <v>671</v>
      </c>
      <c r="AE31" t="s">
        <v>672</v>
      </c>
      <c r="AF31" t="s">
        <v>673</v>
      </c>
      <c r="AG31" t="s">
        <v>58</v>
      </c>
      <c r="AH31" t="s">
        <v>93</v>
      </c>
      <c r="AI31" t="s">
        <v>674</v>
      </c>
      <c r="AJ31" t="s">
        <v>117</v>
      </c>
      <c r="AK31" t="s">
        <v>323</v>
      </c>
      <c r="AL31" t="s">
        <v>119</v>
      </c>
      <c r="AM31" t="s">
        <v>675</v>
      </c>
      <c r="AN31" t="s">
        <v>80</v>
      </c>
      <c r="AO31" t="s">
        <v>58</v>
      </c>
      <c r="AP31" t="s">
        <v>58</v>
      </c>
      <c r="AQ31" t="s">
        <v>58</v>
      </c>
      <c r="AR31" t="s">
        <v>63</v>
      </c>
      <c r="AS31" t="s">
        <v>58</v>
      </c>
      <c r="AT31" t="s">
        <v>676</v>
      </c>
      <c r="AU31" t="s">
        <v>677</v>
      </c>
      <c r="AV31" t="s">
        <v>678</v>
      </c>
      <c r="AW31" t="s">
        <v>555</v>
      </c>
      <c r="AX31" t="s">
        <v>54</v>
      </c>
      <c r="AY31" t="s">
        <v>108</v>
      </c>
      <c r="AZ31" t="s">
        <v>119</v>
      </c>
      <c r="BA31" t="s">
        <v>62</v>
      </c>
      <c r="BB31" t="s">
        <v>126</v>
      </c>
    </row>
    <row r="32" spans="1:54" x14ac:dyDescent="0.25">
      <c r="A32" t="s">
        <v>679</v>
      </c>
      <c r="B32" s="2" t="str" cm="1">
        <f t="array" ref="B32">_xlfn.IFS(C32 = "UEFA","Europa",C32= "CONMEBOL","América do Sul",C32= "CAF", "África",C32="AFC", "Ásia",C32="OFC", "Oceania",C32="CONCACAF","América Central e Norte")</f>
        <v>Ásia</v>
      </c>
      <c r="C32" t="s">
        <v>943</v>
      </c>
      <c r="D32" t="s">
        <v>103</v>
      </c>
      <c r="E32" t="s">
        <v>55</v>
      </c>
      <c r="F32" t="s">
        <v>80</v>
      </c>
      <c r="G32" t="s">
        <v>73</v>
      </c>
      <c r="H32" t="s">
        <v>227</v>
      </c>
      <c r="I32" t="s">
        <v>159</v>
      </c>
      <c r="J32" t="s">
        <v>538</v>
      </c>
      <c r="K32" t="s">
        <v>680</v>
      </c>
      <c r="L32" t="s">
        <v>681</v>
      </c>
      <c r="M32" t="s">
        <v>73</v>
      </c>
      <c r="N32" t="s">
        <v>63</v>
      </c>
      <c r="O32" t="s">
        <v>63</v>
      </c>
      <c r="P32" t="s">
        <v>95</v>
      </c>
      <c r="Q32" t="s">
        <v>237</v>
      </c>
      <c r="R32" t="s">
        <v>500</v>
      </c>
      <c r="S32" t="s">
        <v>211</v>
      </c>
      <c r="T32" t="s">
        <v>191</v>
      </c>
      <c r="U32" t="s">
        <v>73</v>
      </c>
      <c r="V32" t="s">
        <v>487</v>
      </c>
      <c r="W32" t="s">
        <v>333</v>
      </c>
      <c r="X32" t="s">
        <v>440</v>
      </c>
      <c r="Y32" t="s">
        <v>58</v>
      </c>
      <c r="Z32" t="s">
        <v>86</v>
      </c>
      <c r="AA32" t="s">
        <v>682</v>
      </c>
      <c r="AB32" t="s">
        <v>683</v>
      </c>
      <c r="AC32" t="s">
        <v>684</v>
      </c>
      <c r="AD32" t="s">
        <v>685</v>
      </c>
      <c r="AE32" t="s">
        <v>686</v>
      </c>
      <c r="AF32" t="s">
        <v>687</v>
      </c>
      <c r="AG32" t="s">
        <v>80</v>
      </c>
      <c r="AH32" t="s">
        <v>342</v>
      </c>
      <c r="AI32" t="s">
        <v>216</v>
      </c>
      <c r="AJ32" t="s">
        <v>83</v>
      </c>
      <c r="AK32" t="s">
        <v>508</v>
      </c>
      <c r="AL32" t="s">
        <v>63</v>
      </c>
      <c r="AM32" t="s">
        <v>688</v>
      </c>
      <c r="AN32" t="s">
        <v>58</v>
      </c>
      <c r="AO32" t="s">
        <v>58</v>
      </c>
      <c r="AP32" t="s">
        <v>86</v>
      </c>
      <c r="AQ32" t="s">
        <v>86</v>
      </c>
      <c r="AR32" t="s">
        <v>58</v>
      </c>
      <c r="AS32" t="s">
        <v>86</v>
      </c>
      <c r="AT32" t="s">
        <v>689</v>
      </c>
      <c r="AU32" t="s">
        <v>690</v>
      </c>
      <c r="AV32" t="s">
        <v>691</v>
      </c>
      <c r="AW32" t="s">
        <v>692</v>
      </c>
      <c r="AX32" t="s">
        <v>693</v>
      </c>
      <c r="AY32" t="s">
        <v>73</v>
      </c>
      <c r="AZ32" t="s">
        <v>65</v>
      </c>
      <c r="BA32" t="s">
        <v>133</v>
      </c>
      <c r="BB32" t="s">
        <v>65</v>
      </c>
    </row>
    <row r="33" spans="1:54" x14ac:dyDescent="0.25">
      <c r="A33" t="s">
        <v>694</v>
      </c>
      <c r="B33" s="2" t="str" cm="1">
        <f t="array" ref="B33">_xlfn.IFS(C33 = "UEFA","Europa",C33= "CONMEBOL","América do Sul",C33= "CAF", "África",C33="AFC", "Ásia",C33="OFC", "Oceania",C33="CONCACAF","América Central e Norte")</f>
        <v>Ásia</v>
      </c>
      <c r="C33" t="s">
        <v>943</v>
      </c>
      <c r="D33" t="s">
        <v>103</v>
      </c>
      <c r="E33" t="s">
        <v>98</v>
      </c>
      <c r="F33" t="s">
        <v>157</v>
      </c>
      <c r="G33" t="s">
        <v>97</v>
      </c>
      <c r="H33" t="s">
        <v>158</v>
      </c>
      <c r="I33" t="s">
        <v>159</v>
      </c>
      <c r="J33" t="s">
        <v>538</v>
      </c>
      <c r="K33" t="s">
        <v>695</v>
      </c>
      <c r="L33" t="s">
        <v>696</v>
      </c>
      <c r="M33" t="s">
        <v>63</v>
      </c>
      <c r="N33" t="s">
        <v>157</v>
      </c>
      <c r="O33" t="s">
        <v>86</v>
      </c>
      <c r="P33" t="s">
        <v>177</v>
      </c>
      <c r="Q33" t="s">
        <v>145</v>
      </c>
      <c r="R33" t="s">
        <v>128</v>
      </c>
      <c r="S33" t="s">
        <v>260</v>
      </c>
      <c r="T33" t="s">
        <v>191</v>
      </c>
      <c r="U33" t="s">
        <v>260</v>
      </c>
      <c r="V33" t="s">
        <v>133</v>
      </c>
      <c r="W33" t="s">
        <v>97</v>
      </c>
      <c r="X33" t="s">
        <v>325</v>
      </c>
      <c r="Y33" t="s">
        <v>63</v>
      </c>
      <c r="Z33" t="s">
        <v>58</v>
      </c>
      <c r="AA33" t="s">
        <v>697</v>
      </c>
      <c r="AB33" t="s">
        <v>698</v>
      </c>
      <c r="AC33" t="s">
        <v>699</v>
      </c>
      <c r="AD33" t="s">
        <v>700</v>
      </c>
      <c r="AE33" t="s">
        <v>701</v>
      </c>
      <c r="AF33" t="s">
        <v>702</v>
      </c>
      <c r="AG33" t="s">
        <v>58</v>
      </c>
      <c r="AH33" t="s">
        <v>237</v>
      </c>
      <c r="AI33" t="s">
        <v>354</v>
      </c>
      <c r="AJ33" t="s">
        <v>157</v>
      </c>
      <c r="AK33" t="s">
        <v>311</v>
      </c>
      <c r="AL33" t="s">
        <v>145</v>
      </c>
      <c r="AM33" t="s">
        <v>703</v>
      </c>
      <c r="AN33" t="s">
        <v>58</v>
      </c>
      <c r="AO33" t="s">
        <v>86</v>
      </c>
      <c r="AP33" t="s">
        <v>86</v>
      </c>
      <c r="AQ33" t="s">
        <v>86</v>
      </c>
      <c r="AR33" t="s">
        <v>58</v>
      </c>
      <c r="AS33" t="s">
        <v>58</v>
      </c>
      <c r="AT33" t="s">
        <v>704</v>
      </c>
      <c r="AU33" t="s">
        <v>705</v>
      </c>
      <c r="AV33" t="s">
        <v>706</v>
      </c>
      <c r="AW33" t="s">
        <v>707</v>
      </c>
      <c r="AX33" t="s">
        <v>369</v>
      </c>
      <c r="AY33" t="s">
        <v>191</v>
      </c>
      <c r="AZ33" t="s">
        <v>129</v>
      </c>
      <c r="BA33" t="s">
        <v>708</v>
      </c>
      <c r="BB33" t="s">
        <v>65</v>
      </c>
    </row>
    <row r="34" spans="1:54" x14ac:dyDescent="0.25">
      <c r="A34" t="s">
        <v>709</v>
      </c>
      <c r="B34" s="2" t="str" cm="1">
        <f t="array" ref="B34">_xlfn.IFS(C34 = "UEFA","Europa",C34= "CONMEBOL","América do Sul",C34= "CAF", "África",C34="AFC", "Ásia",C34="OFC", "Oceania",C34="CONCACAF","América Central e Norte")</f>
        <v>Ásia</v>
      </c>
      <c r="C34" t="s">
        <v>943</v>
      </c>
      <c r="D34" t="s">
        <v>97</v>
      </c>
      <c r="E34" t="s">
        <v>98</v>
      </c>
      <c r="F34" t="s">
        <v>62</v>
      </c>
      <c r="G34" t="s">
        <v>62</v>
      </c>
      <c r="H34" t="s">
        <v>63</v>
      </c>
      <c r="I34" t="s">
        <v>710</v>
      </c>
      <c r="J34" t="s">
        <v>160</v>
      </c>
      <c r="K34" t="s">
        <v>711</v>
      </c>
      <c r="L34" t="s">
        <v>712</v>
      </c>
      <c r="M34" t="s">
        <v>86</v>
      </c>
      <c r="N34" t="s">
        <v>56</v>
      </c>
      <c r="O34" t="s">
        <v>58</v>
      </c>
      <c r="P34" t="s">
        <v>308</v>
      </c>
      <c r="Q34" t="s">
        <v>99</v>
      </c>
      <c r="R34" t="s">
        <v>446</v>
      </c>
      <c r="S34" t="s">
        <v>67</v>
      </c>
      <c r="T34" t="s">
        <v>62</v>
      </c>
      <c r="U34" t="s">
        <v>138</v>
      </c>
      <c r="V34" t="s">
        <v>117</v>
      </c>
      <c r="W34" t="s">
        <v>107</v>
      </c>
      <c r="X34" t="s">
        <v>241</v>
      </c>
      <c r="Y34" t="s">
        <v>63</v>
      </c>
      <c r="Z34" t="s">
        <v>73</v>
      </c>
      <c r="AA34" t="s">
        <v>713</v>
      </c>
      <c r="AB34" t="s">
        <v>714</v>
      </c>
      <c r="AC34" t="s">
        <v>715</v>
      </c>
      <c r="AD34" t="s">
        <v>716</v>
      </c>
      <c r="AE34" t="s">
        <v>717</v>
      </c>
      <c r="AF34" t="s">
        <v>718</v>
      </c>
      <c r="AG34" t="s">
        <v>86</v>
      </c>
      <c r="AH34" t="s">
        <v>145</v>
      </c>
      <c r="AI34" t="s">
        <v>542</v>
      </c>
      <c r="AJ34" t="s">
        <v>190</v>
      </c>
      <c r="AK34" t="s">
        <v>674</v>
      </c>
      <c r="AL34" t="s">
        <v>64</v>
      </c>
      <c r="AM34" t="s">
        <v>719</v>
      </c>
      <c r="AN34" t="s">
        <v>80</v>
      </c>
      <c r="AO34" t="s">
        <v>58</v>
      </c>
      <c r="AP34" t="s">
        <v>63</v>
      </c>
      <c r="AQ34" t="s">
        <v>86</v>
      </c>
      <c r="AR34" t="s">
        <v>63</v>
      </c>
      <c r="AS34" t="s">
        <v>58</v>
      </c>
      <c r="AT34" t="s">
        <v>720</v>
      </c>
      <c r="AU34" t="s">
        <v>721</v>
      </c>
      <c r="AV34" t="s">
        <v>722</v>
      </c>
      <c r="AW34" t="s">
        <v>723</v>
      </c>
      <c r="AX34" t="s">
        <v>425</v>
      </c>
      <c r="AY34" t="s">
        <v>83</v>
      </c>
      <c r="AZ34" t="s">
        <v>99</v>
      </c>
      <c r="BA34" t="s">
        <v>98</v>
      </c>
      <c r="BB34" t="s">
        <v>93</v>
      </c>
    </row>
    <row r="35" spans="1:54" x14ac:dyDescent="0.25">
      <c r="A35" t="s">
        <v>724</v>
      </c>
      <c r="B35" s="2" t="str" cm="1">
        <f t="array" ref="B35">_xlfn.IFS(C35 = "UEFA","Europa",C35= "CONMEBOL","América do Sul",C35= "CAF", "África",C35="AFC", "Ásia",C35="OFC", "Oceania",C35="CONCACAF","América Central e Norte")</f>
        <v>Ásia</v>
      </c>
      <c r="C35" t="s">
        <v>943</v>
      </c>
      <c r="D35" t="s">
        <v>73</v>
      </c>
      <c r="E35" t="s">
        <v>103</v>
      </c>
      <c r="F35" t="s">
        <v>63</v>
      </c>
      <c r="G35" t="s">
        <v>73</v>
      </c>
      <c r="H35" t="s">
        <v>119</v>
      </c>
      <c r="I35" t="s">
        <v>59</v>
      </c>
      <c r="J35" t="s">
        <v>538</v>
      </c>
      <c r="K35" t="s">
        <v>725</v>
      </c>
      <c r="L35" t="s">
        <v>578</v>
      </c>
      <c r="M35" t="s">
        <v>86</v>
      </c>
      <c r="N35" t="s">
        <v>80</v>
      </c>
      <c r="O35" t="s">
        <v>86</v>
      </c>
      <c r="P35" t="s">
        <v>136</v>
      </c>
      <c r="Q35" t="s">
        <v>227</v>
      </c>
      <c r="R35" t="s">
        <v>494</v>
      </c>
      <c r="S35" t="s">
        <v>201</v>
      </c>
      <c r="T35" t="s">
        <v>83</v>
      </c>
      <c r="U35" t="s">
        <v>201</v>
      </c>
      <c r="V35" t="s">
        <v>409</v>
      </c>
      <c r="W35" t="s">
        <v>288</v>
      </c>
      <c r="X35" t="s">
        <v>192</v>
      </c>
      <c r="Y35" t="s">
        <v>73</v>
      </c>
      <c r="Z35" t="s">
        <v>73</v>
      </c>
      <c r="AA35" t="s">
        <v>726</v>
      </c>
      <c r="AB35" t="s">
        <v>727</v>
      </c>
      <c r="AC35" t="s">
        <v>728</v>
      </c>
      <c r="AD35" t="s">
        <v>729</v>
      </c>
      <c r="AE35" t="s">
        <v>730</v>
      </c>
      <c r="AF35" t="s">
        <v>731</v>
      </c>
      <c r="AG35" t="s">
        <v>63</v>
      </c>
      <c r="AH35" t="s">
        <v>199</v>
      </c>
      <c r="AI35" t="s">
        <v>417</v>
      </c>
      <c r="AJ35" t="s">
        <v>288</v>
      </c>
      <c r="AK35" t="s">
        <v>542</v>
      </c>
      <c r="AL35" t="s">
        <v>227</v>
      </c>
      <c r="AM35" t="s">
        <v>732</v>
      </c>
      <c r="AN35" t="s">
        <v>86</v>
      </c>
      <c r="AO35" t="s">
        <v>58</v>
      </c>
      <c r="AP35" t="s">
        <v>86</v>
      </c>
      <c r="AQ35" t="s">
        <v>86</v>
      </c>
      <c r="AR35" t="s">
        <v>86</v>
      </c>
      <c r="AS35" t="s">
        <v>58</v>
      </c>
      <c r="AT35" t="s">
        <v>733</v>
      </c>
      <c r="AU35" t="s">
        <v>734</v>
      </c>
      <c r="AV35" t="s">
        <v>735</v>
      </c>
      <c r="AW35" t="s">
        <v>736</v>
      </c>
      <c r="AX35" t="s">
        <v>737</v>
      </c>
      <c r="AY35" t="s">
        <v>432</v>
      </c>
      <c r="AZ35" t="s">
        <v>283</v>
      </c>
      <c r="BA35" t="s">
        <v>55</v>
      </c>
      <c r="BB35" t="s">
        <v>104</v>
      </c>
    </row>
    <row r="36" spans="1:54" x14ac:dyDescent="0.25">
      <c r="A36" t="s">
        <v>738</v>
      </c>
      <c r="B36" s="2" t="str" cm="1">
        <f t="array" ref="B36">_xlfn.IFS(C36 = "UEFA","Europa",C36= "CONMEBOL","América do Sul",C36= "CAF", "África",C36="AFC", "Ásia",C36="OFC", "Oceania",C36="CONCACAF","América Central e Norte")</f>
        <v>Ásia</v>
      </c>
      <c r="C36" t="s">
        <v>943</v>
      </c>
      <c r="D36" t="s">
        <v>73</v>
      </c>
      <c r="E36" t="s">
        <v>53</v>
      </c>
      <c r="F36" t="s">
        <v>62</v>
      </c>
      <c r="G36" t="s">
        <v>73</v>
      </c>
      <c r="H36" t="s">
        <v>136</v>
      </c>
      <c r="I36" t="s">
        <v>285</v>
      </c>
      <c r="J36" t="s">
        <v>130</v>
      </c>
      <c r="K36" t="s">
        <v>739</v>
      </c>
      <c r="L36" t="s">
        <v>466</v>
      </c>
      <c r="M36" t="s">
        <v>58</v>
      </c>
      <c r="N36" t="s">
        <v>103</v>
      </c>
      <c r="O36" t="s">
        <v>103</v>
      </c>
      <c r="P36" t="s">
        <v>283</v>
      </c>
      <c r="Q36" t="s">
        <v>104</v>
      </c>
      <c r="R36" t="s">
        <v>542</v>
      </c>
      <c r="S36" t="s">
        <v>108</v>
      </c>
      <c r="T36" t="s">
        <v>288</v>
      </c>
      <c r="U36" t="s">
        <v>80</v>
      </c>
      <c r="V36" t="s">
        <v>56</v>
      </c>
      <c r="W36" t="s">
        <v>138</v>
      </c>
      <c r="X36" t="s">
        <v>241</v>
      </c>
      <c r="Y36" t="s">
        <v>86</v>
      </c>
      <c r="Z36" t="s">
        <v>80</v>
      </c>
      <c r="AA36" t="s">
        <v>740</v>
      </c>
      <c r="AB36" t="s">
        <v>741</v>
      </c>
      <c r="AC36" t="s">
        <v>742</v>
      </c>
      <c r="AD36" t="s">
        <v>743</v>
      </c>
      <c r="AE36" t="s">
        <v>744</v>
      </c>
      <c r="AF36" t="s">
        <v>745</v>
      </c>
      <c r="AG36" t="s">
        <v>58</v>
      </c>
      <c r="AH36" t="s">
        <v>227</v>
      </c>
      <c r="AI36" t="s">
        <v>256</v>
      </c>
      <c r="AJ36" t="s">
        <v>432</v>
      </c>
      <c r="AK36" t="s">
        <v>153</v>
      </c>
      <c r="AL36" t="s">
        <v>63</v>
      </c>
      <c r="AM36" t="s">
        <v>746</v>
      </c>
      <c r="AN36" t="s">
        <v>58</v>
      </c>
      <c r="AO36" t="s">
        <v>63</v>
      </c>
      <c r="AP36" t="s">
        <v>58</v>
      </c>
      <c r="AQ36" t="s">
        <v>58</v>
      </c>
      <c r="AR36" t="s">
        <v>58</v>
      </c>
      <c r="AS36" t="s">
        <v>86</v>
      </c>
      <c r="AT36" t="s">
        <v>747</v>
      </c>
      <c r="AU36" t="s">
        <v>748</v>
      </c>
      <c r="AV36" t="s">
        <v>749</v>
      </c>
      <c r="AW36" t="s">
        <v>750</v>
      </c>
      <c r="AX36" t="s">
        <v>250</v>
      </c>
      <c r="AY36" t="s">
        <v>409</v>
      </c>
      <c r="AZ36" t="s">
        <v>99</v>
      </c>
      <c r="BA36" t="s">
        <v>409</v>
      </c>
      <c r="BB36" t="s">
        <v>164</v>
      </c>
    </row>
    <row r="37" spans="1:54" x14ac:dyDescent="0.25">
      <c r="A37" t="s">
        <v>751</v>
      </c>
      <c r="B37" s="2" t="str" cm="1">
        <f t="array" ref="B37">_xlfn.IFS(C37 = "UEFA","Europa",C37= "CONMEBOL","América do Sul",C37= "CAF", "África",C37="AFC", "Ásia",C37="OFC", "Oceania",C37="CONCACAF","América Central e Norte")</f>
        <v>Ásia</v>
      </c>
      <c r="C37" t="s">
        <v>943</v>
      </c>
      <c r="D37" t="s">
        <v>62</v>
      </c>
      <c r="E37" t="s">
        <v>128</v>
      </c>
      <c r="F37" t="s">
        <v>157</v>
      </c>
      <c r="G37" t="s">
        <v>62</v>
      </c>
      <c r="H37" t="s">
        <v>57</v>
      </c>
      <c r="I37" t="s">
        <v>159</v>
      </c>
      <c r="J37" t="s">
        <v>538</v>
      </c>
      <c r="K37" t="s">
        <v>752</v>
      </c>
      <c r="L37" t="s">
        <v>753</v>
      </c>
      <c r="M37" t="s">
        <v>73</v>
      </c>
      <c r="N37" t="s">
        <v>62</v>
      </c>
      <c r="O37" t="s">
        <v>58</v>
      </c>
      <c r="P37" t="s">
        <v>237</v>
      </c>
      <c r="Q37" t="s">
        <v>126</v>
      </c>
      <c r="R37" t="s">
        <v>708</v>
      </c>
      <c r="S37" t="s">
        <v>642</v>
      </c>
      <c r="T37" t="s">
        <v>332</v>
      </c>
      <c r="U37" t="s">
        <v>63</v>
      </c>
      <c r="V37" t="s">
        <v>219</v>
      </c>
      <c r="W37" t="s">
        <v>642</v>
      </c>
      <c r="X37" t="s">
        <v>175</v>
      </c>
      <c r="Y37" t="s">
        <v>86</v>
      </c>
      <c r="Z37" t="s">
        <v>55</v>
      </c>
      <c r="AA37" t="s">
        <v>754</v>
      </c>
      <c r="AB37" t="s">
        <v>755</v>
      </c>
      <c r="AC37" t="s">
        <v>756</v>
      </c>
      <c r="AD37" t="s">
        <v>757</v>
      </c>
      <c r="AE37" t="s">
        <v>758</v>
      </c>
      <c r="AF37" t="s">
        <v>759</v>
      </c>
      <c r="AG37" t="s">
        <v>80</v>
      </c>
      <c r="AH37" t="s">
        <v>280</v>
      </c>
      <c r="AI37" t="s">
        <v>423</v>
      </c>
      <c r="AJ37" t="s">
        <v>218</v>
      </c>
      <c r="AK37" t="s">
        <v>125</v>
      </c>
      <c r="AL37" t="s">
        <v>469</v>
      </c>
      <c r="AM37" t="s">
        <v>760</v>
      </c>
      <c r="AN37" t="s">
        <v>86</v>
      </c>
      <c r="AO37" t="s">
        <v>58</v>
      </c>
      <c r="AP37" t="s">
        <v>73</v>
      </c>
      <c r="AQ37" t="s">
        <v>73</v>
      </c>
      <c r="AR37" t="s">
        <v>86</v>
      </c>
      <c r="AS37" t="s">
        <v>86</v>
      </c>
      <c r="AT37" t="s">
        <v>761</v>
      </c>
      <c r="AU37" t="s">
        <v>762</v>
      </c>
      <c r="AV37" t="s">
        <v>763</v>
      </c>
      <c r="AW37" t="s">
        <v>764</v>
      </c>
      <c r="AX37" t="s">
        <v>405</v>
      </c>
      <c r="AY37" t="s">
        <v>310</v>
      </c>
      <c r="AZ37" t="s">
        <v>65</v>
      </c>
      <c r="BA37" t="s">
        <v>219</v>
      </c>
      <c r="BB37" t="s">
        <v>177</v>
      </c>
    </row>
    <row r="38" spans="1:54" x14ac:dyDescent="0.25">
      <c r="A38" t="s">
        <v>765</v>
      </c>
      <c r="B38" s="2" t="str" cm="1">
        <f t="array" ref="B38">_xlfn.IFS(C38 = "UEFA","Europa",C38= "CONMEBOL","América do Sul",C38= "CAF", "África",C38="AFC", "Ásia",C38="OFC", "Oceania",C38="CONCACAF","América Central e Norte")</f>
        <v>Ásia</v>
      </c>
      <c r="C38" t="s">
        <v>943</v>
      </c>
      <c r="D38" t="s">
        <v>103</v>
      </c>
      <c r="E38" t="s">
        <v>62</v>
      </c>
      <c r="F38" t="s">
        <v>80</v>
      </c>
      <c r="G38" t="s">
        <v>73</v>
      </c>
      <c r="H38" t="s">
        <v>65</v>
      </c>
      <c r="I38" t="s">
        <v>58</v>
      </c>
      <c r="J38" t="s">
        <v>213</v>
      </c>
      <c r="K38" t="s">
        <v>766</v>
      </c>
      <c r="L38" t="s">
        <v>767</v>
      </c>
      <c r="M38" t="s">
        <v>63</v>
      </c>
      <c r="N38" t="s">
        <v>80</v>
      </c>
      <c r="O38" t="s">
        <v>63</v>
      </c>
      <c r="P38" t="s">
        <v>237</v>
      </c>
      <c r="Q38" t="s">
        <v>342</v>
      </c>
      <c r="R38" t="s">
        <v>708</v>
      </c>
      <c r="S38" t="s">
        <v>135</v>
      </c>
      <c r="T38" t="s">
        <v>217</v>
      </c>
      <c r="U38" t="s">
        <v>211</v>
      </c>
      <c r="V38" t="s">
        <v>249</v>
      </c>
      <c r="W38" t="s">
        <v>135</v>
      </c>
      <c r="X38" t="s">
        <v>325</v>
      </c>
      <c r="Y38" t="s">
        <v>80</v>
      </c>
      <c r="Z38" t="s">
        <v>63</v>
      </c>
      <c r="AA38" t="s">
        <v>768</v>
      </c>
      <c r="AB38" t="s">
        <v>769</v>
      </c>
      <c r="AC38" t="s">
        <v>770</v>
      </c>
      <c r="AD38" t="s">
        <v>771</v>
      </c>
      <c r="AE38" t="s">
        <v>772</v>
      </c>
      <c r="AF38" t="s">
        <v>773</v>
      </c>
      <c r="AG38" t="s">
        <v>63</v>
      </c>
      <c r="AH38" t="s">
        <v>342</v>
      </c>
      <c r="AI38" t="s">
        <v>774</v>
      </c>
      <c r="AJ38" t="s">
        <v>128</v>
      </c>
      <c r="AK38" t="s">
        <v>775</v>
      </c>
      <c r="AL38" t="s">
        <v>65</v>
      </c>
      <c r="AM38" t="s">
        <v>776</v>
      </c>
      <c r="AN38" t="s">
        <v>58</v>
      </c>
      <c r="AO38" t="s">
        <v>58</v>
      </c>
      <c r="AP38" t="s">
        <v>86</v>
      </c>
      <c r="AQ38" t="s">
        <v>86</v>
      </c>
      <c r="AR38" t="s">
        <v>58</v>
      </c>
      <c r="AS38" t="s">
        <v>58</v>
      </c>
      <c r="AT38" t="s">
        <v>777</v>
      </c>
      <c r="AU38" t="s">
        <v>778</v>
      </c>
      <c r="AV38" t="s">
        <v>779</v>
      </c>
      <c r="AW38" t="s">
        <v>780</v>
      </c>
      <c r="AX38" t="s">
        <v>521</v>
      </c>
      <c r="AY38" t="s">
        <v>62</v>
      </c>
      <c r="AZ38" t="s">
        <v>106</v>
      </c>
      <c r="BA38" t="s">
        <v>781</v>
      </c>
      <c r="BB38" t="s">
        <v>65</v>
      </c>
    </row>
    <row r="39" spans="1:54" x14ac:dyDescent="0.25">
      <c r="A39" t="s">
        <v>782</v>
      </c>
      <c r="B39" s="2" t="str" cm="1">
        <f t="array" ref="B39">_xlfn.IFS(C39 = "UEFA","Europa",C39= "CONMEBOL","América do Sul",C39= "CAF", "África",C39="AFC", "Ásia",C39="OFC", "Oceania",C39="CONCACAF","América Central e Norte")</f>
        <v>América Central e Norte</v>
      </c>
      <c r="C39" t="s">
        <v>944</v>
      </c>
      <c r="D39" t="s">
        <v>97</v>
      </c>
      <c r="E39" t="s">
        <v>53</v>
      </c>
      <c r="F39" t="s">
        <v>80</v>
      </c>
      <c r="G39" t="s">
        <v>62</v>
      </c>
      <c r="H39" t="s">
        <v>93</v>
      </c>
      <c r="I39" t="s">
        <v>58</v>
      </c>
      <c r="J39" t="s">
        <v>160</v>
      </c>
      <c r="K39" t="s">
        <v>783</v>
      </c>
      <c r="L39" t="s">
        <v>784</v>
      </c>
      <c r="M39" t="s">
        <v>86</v>
      </c>
      <c r="N39" t="s">
        <v>73</v>
      </c>
      <c r="O39" t="s">
        <v>73</v>
      </c>
      <c r="P39" t="s">
        <v>80</v>
      </c>
      <c r="Q39" t="s">
        <v>129</v>
      </c>
      <c r="R39" t="s">
        <v>82</v>
      </c>
      <c r="S39" t="s">
        <v>97</v>
      </c>
      <c r="T39" t="s">
        <v>134</v>
      </c>
      <c r="U39" t="s">
        <v>106</v>
      </c>
      <c r="V39" t="s">
        <v>154</v>
      </c>
      <c r="W39" t="s">
        <v>298</v>
      </c>
      <c r="X39" t="s">
        <v>200</v>
      </c>
      <c r="Y39" t="s">
        <v>86</v>
      </c>
      <c r="Z39" t="s">
        <v>73</v>
      </c>
      <c r="AA39" t="s">
        <v>785</v>
      </c>
      <c r="AB39" t="s">
        <v>786</v>
      </c>
      <c r="AC39" t="s">
        <v>787</v>
      </c>
      <c r="AD39" t="s">
        <v>788</v>
      </c>
      <c r="AE39" t="s">
        <v>789</v>
      </c>
      <c r="AF39" t="s">
        <v>790</v>
      </c>
      <c r="AG39" t="s">
        <v>73</v>
      </c>
      <c r="AH39" t="s">
        <v>199</v>
      </c>
      <c r="AI39" t="s">
        <v>282</v>
      </c>
      <c r="AJ39" t="s">
        <v>594</v>
      </c>
      <c r="AK39" t="s">
        <v>791</v>
      </c>
      <c r="AL39" t="s">
        <v>119</v>
      </c>
      <c r="AM39" t="s">
        <v>792</v>
      </c>
      <c r="AN39" t="s">
        <v>86</v>
      </c>
      <c r="AO39" t="s">
        <v>58</v>
      </c>
      <c r="AP39" t="s">
        <v>58</v>
      </c>
      <c r="AQ39" t="s">
        <v>58</v>
      </c>
      <c r="AR39" t="s">
        <v>58</v>
      </c>
      <c r="AS39" t="s">
        <v>97</v>
      </c>
      <c r="AT39" t="s">
        <v>793</v>
      </c>
      <c r="AU39" t="s">
        <v>794</v>
      </c>
      <c r="AV39" t="s">
        <v>795</v>
      </c>
      <c r="AW39" t="s">
        <v>796</v>
      </c>
      <c r="AX39" t="s">
        <v>125</v>
      </c>
      <c r="AY39" t="s">
        <v>298</v>
      </c>
      <c r="AZ39" t="s">
        <v>164</v>
      </c>
      <c r="BA39" t="s">
        <v>797</v>
      </c>
      <c r="BB39" t="s">
        <v>129</v>
      </c>
    </row>
    <row r="40" spans="1:54" x14ac:dyDescent="0.25">
      <c r="A40" t="s">
        <v>798</v>
      </c>
      <c r="B40" s="2" t="str" cm="1">
        <f t="array" ref="B40">_xlfn.IFS(C40 = "UEFA","Europa",C40= "CONMEBOL","América do Sul",C40= "CAF", "África",C40="AFC", "Ásia",C40="OFC", "Oceania",C40="CONCACAF","América Central e Norte")</f>
        <v>América Central e Norte</v>
      </c>
      <c r="C40" t="s">
        <v>944</v>
      </c>
      <c r="D40" t="s">
        <v>73</v>
      </c>
      <c r="E40" t="s">
        <v>53</v>
      </c>
      <c r="F40" t="s">
        <v>63</v>
      </c>
      <c r="G40" t="s">
        <v>97</v>
      </c>
      <c r="H40" t="s">
        <v>136</v>
      </c>
      <c r="I40" t="s">
        <v>285</v>
      </c>
      <c r="J40" t="s">
        <v>130</v>
      </c>
      <c r="K40" t="s">
        <v>799</v>
      </c>
      <c r="L40" t="s">
        <v>428</v>
      </c>
      <c r="M40" t="s">
        <v>80</v>
      </c>
      <c r="N40" t="s">
        <v>62</v>
      </c>
      <c r="O40" t="s">
        <v>58</v>
      </c>
      <c r="P40" t="s">
        <v>73</v>
      </c>
      <c r="Q40" t="s">
        <v>136</v>
      </c>
      <c r="R40" t="s">
        <v>800</v>
      </c>
      <c r="S40" t="s">
        <v>108</v>
      </c>
      <c r="T40" t="s">
        <v>138</v>
      </c>
      <c r="U40" t="s">
        <v>136</v>
      </c>
      <c r="V40" t="s">
        <v>201</v>
      </c>
      <c r="W40" t="s">
        <v>83</v>
      </c>
      <c r="X40" t="s">
        <v>476</v>
      </c>
      <c r="Y40" t="s">
        <v>58</v>
      </c>
      <c r="Z40" t="s">
        <v>73</v>
      </c>
      <c r="AA40" t="s">
        <v>336</v>
      </c>
      <c r="AB40" t="s">
        <v>801</v>
      </c>
      <c r="AC40" t="s">
        <v>802</v>
      </c>
      <c r="AD40" t="s">
        <v>803</v>
      </c>
      <c r="AE40" t="s">
        <v>804</v>
      </c>
      <c r="AF40" t="s">
        <v>805</v>
      </c>
      <c r="AG40" t="s">
        <v>63</v>
      </c>
      <c r="AH40" t="s">
        <v>199</v>
      </c>
      <c r="AI40" t="s">
        <v>494</v>
      </c>
      <c r="AJ40" t="s">
        <v>146</v>
      </c>
      <c r="AK40" t="s">
        <v>174</v>
      </c>
      <c r="AL40" t="s">
        <v>119</v>
      </c>
      <c r="AM40" t="s">
        <v>806</v>
      </c>
      <c r="AN40" t="s">
        <v>63</v>
      </c>
      <c r="AO40" t="s">
        <v>58</v>
      </c>
      <c r="AP40" t="s">
        <v>58</v>
      </c>
      <c r="AQ40" t="s">
        <v>58</v>
      </c>
      <c r="AR40" t="s">
        <v>63</v>
      </c>
      <c r="AS40" t="s">
        <v>86</v>
      </c>
      <c r="AT40" t="s">
        <v>807</v>
      </c>
      <c r="AU40" t="s">
        <v>808</v>
      </c>
      <c r="AV40" t="s">
        <v>809</v>
      </c>
      <c r="AW40" t="s">
        <v>810</v>
      </c>
      <c r="AX40" t="s">
        <v>91</v>
      </c>
      <c r="AY40" t="s">
        <v>324</v>
      </c>
      <c r="AZ40" t="s">
        <v>63</v>
      </c>
      <c r="BA40" t="s">
        <v>98</v>
      </c>
      <c r="BB40" t="s">
        <v>86</v>
      </c>
    </row>
    <row r="41" spans="1:54" x14ac:dyDescent="0.25">
      <c r="A41" t="s">
        <v>814</v>
      </c>
      <c r="B41" s="2" t="str" cm="1">
        <f t="array" ref="B41">_xlfn.IFS(C41 = "UEFA","Europa",C41= "CONMEBOL","América do Sul",C41= "CAF", "África",C41="AFC", "Ásia",C41="OFC", "Oceania",C41="CONCACAF","América Central e Norte")</f>
        <v>América Central e Norte</v>
      </c>
      <c r="C41" t="s">
        <v>944</v>
      </c>
      <c r="D41" t="s">
        <v>97</v>
      </c>
      <c r="E41" t="s">
        <v>128</v>
      </c>
      <c r="F41" t="s">
        <v>97</v>
      </c>
      <c r="G41" t="s">
        <v>98</v>
      </c>
      <c r="H41" t="s">
        <v>129</v>
      </c>
      <c r="I41" t="s">
        <v>59</v>
      </c>
      <c r="J41" t="s">
        <v>538</v>
      </c>
      <c r="K41" t="s">
        <v>815</v>
      </c>
      <c r="L41" t="s">
        <v>816</v>
      </c>
      <c r="M41" t="s">
        <v>73</v>
      </c>
      <c r="N41" t="s">
        <v>62</v>
      </c>
      <c r="O41" t="s">
        <v>63</v>
      </c>
      <c r="P41" t="s">
        <v>135</v>
      </c>
      <c r="Q41" t="s">
        <v>99</v>
      </c>
      <c r="R41" t="s">
        <v>797</v>
      </c>
      <c r="S41" t="s">
        <v>191</v>
      </c>
      <c r="T41" t="s">
        <v>108</v>
      </c>
      <c r="U41" t="s">
        <v>324</v>
      </c>
      <c r="V41" t="s">
        <v>62</v>
      </c>
      <c r="W41" t="s">
        <v>289</v>
      </c>
      <c r="X41" t="s">
        <v>133</v>
      </c>
      <c r="Y41" t="s">
        <v>103</v>
      </c>
      <c r="Z41" t="s">
        <v>73</v>
      </c>
      <c r="AA41" t="s">
        <v>817</v>
      </c>
      <c r="AB41" t="s">
        <v>818</v>
      </c>
      <c r="AC41" t="s">
        <v>819</v>
      </c>
      <c r="AD41" t="s">
        <v>820</v>
      </c>
      <c r="AE41" t="s">
        <v>821</v>
      </c>
      <c r="AF41" t="s">
        <v>822</v>
      </c>
      <c r="AG41" t="s">
        <v>63</v>
      </c>
      <c r="AH41" t="s">
        <v>86</v>
      </c>
      <c r="AI41" t="s">
        <v>153</v>
      </c>
      <c r="AJ41" t="s">
        <v>107</v>
      </c>
      <c r="AK41" t="s">
        <v>309</v>
      </c>
      <c r="AL41" t="s">
        <v>64</v>
      </c>
      <c r="AM41" t="s">
        <v>823</v>
      </c>
      <c r="AN41" t="s">
        <v>103</v>
      </c>
      <c r="AO41" t="s">
        <v>86</v>
      </c>
      <c r="AP41" t="s">
        <v>86</v>
      </c>
      <c r="AQ41" t="s">
        <v>86</v>
      </c>
      <c r="AR41" t="s">
        <v>58</v>
      </c>
      <c r="AS41" t="s">
        <v>58</v>
      </c>
      <c r="AT41" t="s">
        <v>824</v>
      </c>
      <c r="AU41" t="s">
        <v>825</v>
      </c>
      <c r="AV41" t="s">
        <v>826</v>
      </c>
      <c r="AW41" t="s">
        <v>827</v>
      </c>
      <c r="AX41" t="s">
        <v>494</v>
      </c>
      <c r="AY41" t="s">
        <v>191</v>
      </c>
      <c r="AZ41" t="s">
        <v>129</v>
      </c>
      <c r="BA41" t="s">
        <v>828</v>
      </c>
      <c r="BB41" t="s">
        <v>104</v>
      </c>
    </row>
    <row r="42" spans="1:54" x14ac:dyDescent="0.25">
      <c r="A42" t="s">
        <v>829</v>
      </c>
      <c r="B42" s="2" t="str" cm="1">
        <f t="array" ref="B42">_xlfn.IFS(C42 = "UEFA","Europa",C42= "CONMEBOL","América do Sul",C42= "CAF", "África",C42="AFC", "Ásia",C42="OFC", "Oceania",C42="CONCACAF","América Central e Norte")</f>
        <v>Europa</v>
      </c>
      <c r="C42" t="s">
        <v>940</v>
      </c>
      <c r="D42" t="s">
        <v>53</v>
      </c>
      <c r="E42" t="s">
        <v>350</v>
      </c>
      <c r="F42" t="s">
        <v>98</v>
      </c>
      <c r="G42" t="s">
        <v>426</v>
      </c>
      <c r="H42" t="s">
        <v>129</v>
      </c>
      <c r="I42" t="s">
        <v>159</v>
      </c>
      <c r="J42" t="s">
        <v>160</v>
      </c>
      <c r="K42" t="s">
        <v>830</v>
      </c>
      <c r="L42" t="s">
        <v>831</v>
      </c>
      <c r="M42" t="s">
        <v>157</v>
      </c>
      <c r="N42" t="s">
        <v>62</v>
      </c>
      <c r="O42" t="s">
        <v>62</v>
      </c>
      <c r="P42" t="s">
        <v>308</v>
      </c>
      <c r="Q42" t="s">
        <v>99</v>
      </c>
      <c r="R42" t="s">
        <v>153</v>
      </c>
      <c r="S42" t="s">
        <v>332</v>
      </c>
      <c r="T42" t="s">
        <v>343</v>
      </c>
      <c r="U42" t="s">
        <v>108</v>
      </c>
      <c r="V42" t="s">
        <v>642</v>
      </c>
      <c r="W42" t="s">
        <v>288</v>
      </c>
      <c r="X42" t="s">
        <v>832</v>
      </c>
      <c r="Y42" t="s">
        <v>103</v>
      </c>
      <c r="Z42" t="s">
        <v>233</v>
      </c>
      <c r="AA42" t="s">
        <v>833</v>
      </c>
      <c r="AB42" t="s">
        <v>834</v>
      </c>
      <c r="AC42" t="s">
        <v>835</v>
      </c>
      <c r="AD42" t="s">
        <v>836</v>
      </c>
      <c r="AE42" t="s">
        <v>837</v>
      </c>
      <c r="AF42" t="s">
        <v>838</v>
      </c>
      <c r="AG42" t="s">
        <v>103</v>
      </c>
      <c r="AH42" t="s">
        <v>145</v>
      </c>
      <c r="AI42" t="s">
        <v>66</v>
      </c>
      <c r="AJ42" t="s">
        <v>137</v>
      </c>
      <c r="AK42" t="s">
        <v>839</v>
      </c>
      <c r="AL42" t="s">
        <v>99</v>
      </c>
      <c r="AM42" t="s">
        <v>840</v>
      </c>
      <c r="AN42" t="s">
        <v>63</v>
      </c>
      <c r="AO42" t="s">
        <v>86</v>
      </c>
      <c r="AP42" t="s">
        <v>80</v>
      </c>
      <c r="AQ42" t="s">
        <v>80</v>
      </c>
      <c r="AR42" t="s">
        <v>80</v>
      </c>
      <c r="AS42" t="s">
        <v>86</v>
      </c>
      <c r="AT42" t="s">
        <v>841</v>
      </c>
      <c r="AU42" t="s">
        <v>842</v>
      </c>
      <c r="AV42" t="s">
        <v>843</v>
      </c>
      <c r="AW42" t="s">
        <v>844</v>
      </c>
      <c r="AX42" t="s">
        <v>845</v>
      </c>
      <c r="AY42" t="s">
        <v>134</v>
      </c>
      <c r="AZ42" t="s">
        <v>99</v>
      </c>
      <c r="BA42" t="s">
        <v>508</v>
      </c>
      <c r="BB42" t="s">
        <v>81</v>
      </c>
    </row>
    <row r="43" spans="1:54" x14ac:dyDescent="0.25">
      <c r="A43" t="s">
        <v>665</v>
      </c>
      <c r="B43" s="2" t="str" cm="1">
        <f t="array" ref="B43">_xlfn.IFS(C43 = "UEFA","Europa",C43= "CONMEBOL","América do Sul",C43= "CAF", "África",C43="AFC", "Ásia",C43="OFC", "Oceania",C43="CONCACAF","América Central e Norte")</f>
        <v>África</v>
      </c>
      <c r="C43" t="s">
        <v>942</v>
      </c>
      <c r="D43" t="s">
        <v>80</v>
      </c>
      <c r="E43" t="s">
        <v>103</v>
      </c>
      <c r="F43" t="s">
        <v>97</v>
      </c>
      <c r="G43" t="s">
        <v>80</v>
      </c>
      <c r="H43" t="s">
        <v>93</v>
      </c>
      <c r="I43" t="s">
        <v>100</v>
      </c>
      <c r="J43" t="s">
        <v>538</v>
      </c>
      <c r="K43" t="s">
        <v>847</v>
      </c>
      <c r="L43" t="s">
        <v>848</v>
      </c>
      <c r="M43" t="s">
        <v>63</v>
      </c>
      <c r="N43" t="s">
        <v>63</v>
      </c>
      <c r="O43" t="s">
        <v>86</v>
      </c>
      <c r="P43" t="s">
        <v>93</v>
      </c>
      <c r="Q43" t="s">
        <v>126</v>
      </c>
      <c r="R43" t="s">
        <v>157</v>
      </c>
      <c r="S43" t="s">
        <v>64</v>
      </c>
      <c r="T43" t="s">
        <v>80</v>
      </c>
      <c r="U43" t="s">
        <v>99</v>
      </c>
      <c r="V43" t="s">
        <v>55</v>
      </c>
      <c r="W43" t="s">
        <v>80</v>
      </c>
      <c r="X43" t="s">
        <v>241</v>
      </c>
      <c r="Y43" t="s">
        <v>86</v>
      </c>
      <c r="Z43" t="s">
        <v>86</v>
      </c>
      <c r="AA43" t="s">
        <v>849</v>
      </c>
      <c r="AB43" t="s">
        <v>850</v>
      </c>
      <c r="AC43" t="s">
        <v>851</v>
      </c>
      <c r="AD43" t="s">
        <v>852</v>
      </c>
      <c r="AE43" t="s">
        <v>853</v>
      </c>
      <c r="AF43" t="s">
        <v>854</v>
      </c>
      <c r="AG43" t="s">
        <v>58</v>
      </c>
      <c r="AH43" t="s">
        <v>63</v>
      </c>
      <c r="AI43" t="s">
        <v>153</v>
      </c>
      <c r="AJ43" t="s">
        <v>55</v>
      </c>
      <c r="AK43" t="s">
        <v>855</v>
      </c>
      <c r="AL43" t="s">
        <v>64</v>
      </c>
      <c r="AM43" t="s">
        <v>856</v>
      </c>
      <c r="AN43" t="s">
        <v>58</v>
      </c>
      <c r="AO43" t="s">
        <v>80</v>
      </c>
      <c r="AP43" t="s">
        <v>86</v>
      </c>
      <c r="AQ43" t="s">
        <v>86</v>
      </c>
      <c r="AR43" t="s">
        <v>58</v>
      </c>
      <c r="AS43" t="s">
        <v>58</v>
      </c>
      <c r="AT43" t="s">
        <v>857</v>
      </c>
      <c r="AU43" t="s">
        <v>858</v>
      </c>
      <c r="AV43" t="s">
        <v>859</v>
      </c>
      <c r="AW43" t="s">
        <v>860</v>
      </c>
      <c r="AX43" t="s">
        <v>575</v>
      </c>
      <c r="AY43" t="s">
        <v>97</v>
      </c>
      <c r="AZ43" t="s">
        <v>119</v>
      </c>
      <c r="BA43" t="s">
        <v>737</v>
      </c>
      <c r="BB43" t="s">
        <v>80</v>
      </c>
    </row>
    <row r="44" spans="1:54" x14ac:dyDescent="0.25">
      <c r="A44" t="s">
        <v>846</v>
      </c>
      <c r="B44" s="2" t="str" cm="1">
        <f t="array" ref="B44">_xlfn.IFS(C44 = "UEFA","Europa",C44= "CONMEBOL","América do Sul",C44= "CAF", "África",C44="AFC", "Ásia",C44="OFC", "Oceania",C44="CONCACAF","América Central e Norte")</f>
        <v>Oceania</v>
      </c>
      <c r="C44" t="s">
        <v>945</v>
      </c>
      <c r="D44" t="s">
        <v>86</v>
      </c>
      <c r="E44" t="s">
        <v>58</v>
      </c>
      <c r="F44" t="s">
        <v>86</v>
      </c>
      <c r="G44" t="s">
        <v>58</v>
      </c>
      <c r="H44" t="s">
        <v>58</v>
      </c>
      <c r="I44" t="s">
        <v>58</v>
      </c>
      <c r="J44" t="s">
        <v>130</v>
      </c>
      <c r="K44" t="s">
        <v>861</v>
      </c>
      <c r="L44" t="s">
        <v>213</v>
      </c>
      <c r="M44" t="s">
        <v>58</v>
      </c>
      <c r="N44" t="s">
        <v>58</v>
      </c>
      <c r="O44" t="s">
        <v>58</v>
      </c>
      <c r="P44" t="s">
        <v>58</v>
      </c>
      <c r="Q44" t="s">
        <v>58</v>
      </c>
      <c r="R44" t="s">
        <v>233</v>
      </c>
      <c r="S44" t="s">
        <v>73</v>
      </c>
      <c r="T44" t="s">
        <v>157</v>
      </c>
      <c r="U44" t="s">
        <v>80</v>
      </c>
      <c r="V44" t="s">
        <v>63</v>
      </c>
      <c r="W44" t="s">
        <v>97</v>
      </c>
      <c r="Y44" t="s">
        <v>58</v>
      </c>
      <c r="Z44" t="s">
        <v>58</v>
      </c>
      <c r="AA44" t="s">
        <v>862</v>
      </c>
      <c r="AB44" t="s">
        <v>863</v>
      </c>
      <c r="AC44" t="s">
        <v>864</v>
      </c>
      <c r="AD44" t="s">
        <v>865</v>
      </c>
      <c r="AE44" t="s">
        <v>866</v>
      </c>
      <c r="AF44" t="s">
        <v>867</v>
      </c>
      <c r="AG44" t="s">
        <v>58</v>
      </c>
      <c r="AH44" t="s">
        <v>86</v>
      </c>
      <c r="AI44" t="s">
        <v>82</v>
      </c>
      <c r="AJ44" t="s">
        <v>56</v>
      </c>
      <c r="AK44" t="s">
        <v>157</v>
      </c>
      <c r="AL44" t="s">
        <v>63</v>
      </c>
      <c r="AN44" t="s">
        <v>58</v>
      </c>
      <c r="AO44" t="s">
        <v>58</v>
      </c>
      <c r="AP44" t="s">
        <v>58</v>
      </c>
      <c r="AQ44" t="s">
        <v>58</v>
      </c>
      <c r="AR44" t="s">
        <v>58</v>
      </c>
      <c r="AS44" t="s">
        <v>58</v>
      </c>
      <c r="AT44" t="s">
        <v>868</v>
      </c>
      <c r="AU44" t="s">
        <v>869</v>
      </c>
      <c r="AV44" t="s">
        <v>870</v>
      </c>
      <c r="AW44" t="s">
        <v>871</v>
      </c>
      <c r="AZ44" t="s">
        <v>58</v>
      </c>
      <c r="BA44" t="s">
        <v>82</v>
      </c>
      <c r="BB44" t="s">
        <v>86</v>
      </c>
    </row>
    <row r="45" spans="1:54" x14ac:dyDescent="0.25">
      <c r="A45" t="s">
        <v>623</v>
      </c>
      <c r="B45" s="2" t="str" cm="1">
        <f t="array" ref="B45">_xlfn.IFS(C45 = "UEFA","Europa",C45= "CONMEBOL","América do Sul",C45= "CAF", "África",C45="AFC", "Ásia",C45="OFC", "Oceania",C45="CONCACAF","América Central e Norte")</f>
        <v>África</v>
      </c>
      <c r="C45" t="s">
        <v>942</v>
      </c>
      <c r="D45" t="s">
        <v>103</v>
      </c>
      <c r="E45" t="s">
        <v>157</v>
      </c>
      <c r="F45" t="s">
        <v>80</v>
      </c>
      <c r="G45" t="s">
        <v>80</v>
      </c>
      <c r="H45" t="s">
        <v>237</v>
      </c>
      <c r="I45" t="s">
        <v>159</v>
      </c>
      <c r="J45" t="s">
        <v>872</v>
      </c>
      <c r="K45" t="s">
        <v>873</v>
      </c>
      <c r="L45" t="s">
        <v>874</v>
      </c>
      <c r="M45" t="s">
        <v>63</v>
      </c>
      <c r="N45" t="s">
        <v>97</v>
      </c>
      <c r="O45" t="s">
        <v>58</v>
      </c>
      <c r="P45" t="s">
        <v>227</v>
      </c>
      <c r="Q45" t="s">
        <v>164</v>
      </c>
      <c r="R45" t="s">
        <v>233</v>
      </c>
      <c r="S45" t="s">
        <v>135</v>
      </c>
      <c r="T45" t="s">
        <v>642</v>
      </c>
      <c r="U45" t="s">
        <v>191</v>
      </c>
      <c r="V45" t="s">
        <v>53</v>
      </c>
      <c r="W45" t="s">
        <v>107</v>
      </c>
      <c r="X45" t="s">
        <v>354</v>
      </c>
      <c r="Y45" t="s">
        <v>63</v>
      </c>
      <c r="Z45" t="s">
        <v>63</v>
      </c>
      <c r="AA45" t="s">
        <v>875</v>
      </c>
      <c r="AB45" t="s">
        <v>876</v>
      </c>
      <c r="AC45" t="s">
        <v>877</v>
      </c>
      <c r="AD45" t="s">
        <v>878</v>
      </c>
      <c r="AE45" t="s">
        <v>879</v>
      </c>
      <c r="AF45" t="s">
        <v>880</v>
      </c>
      <c r="AG45" t="s">
        <v>80</v>
      </c>
      <c r="AH45" t="s">
        <v>342</v>
      </c>
      <c r="AI45" t="s">
        <v>91</v>
      </c>
      <c r="AJ45" t="s">
        <v>191</v>
      </c>
      <c r="AK45" t="s">
        <v>881</v>
      </c>
      <c r="AL45" t="s">
        <v>177</v>
      </c>
      <c r="AM45" t="s">
        <v>882</v>
      </c>
      <c r="AN45" t="s">
        <v>86</v>
      </c>
      <c r="AO45" t="s">
        <v>58</v>
      </c>
      <c r="AP45" t="s">
        <v>58</v>
      </c>
      <c r="AQ45" t="s">
        <v>58</v>
      </c>
      <c r="AR45" t="s">
        <v>58</v>
      </c>
      <c r="AS45" t="s">
        <v>80</v>
      </c>
      <c r="AT45" t="s">
        <v>883</v>
      </c>
      <c r="AU45" t="s">
        <v>884</v>
      </c>
      <c r="AV45" t="s">
        <v>885</v>
      </c>
      <c r="AW45" t="s">
        <v>886</v>
      </c>
      <c r="AX45" t="s">
        <v>330</v>
      </c>
      <c r="AY45" t="s">
        <v>304</v>
      </c>
      <c r="AZ45" t="s">
        <v>63</v>
      </c>
      <c r="BA45" t="s">
        <v>559</v>
      </c>
      <c r="BB45" t="s">
        <v>65</v>
      </c>
    </row>
    <row r="46" spans="1:54" x14ac:dyDescent="0.25">
      <c r="A46" t="s">
        <v>811</v>
      </c>
      <c r="B46" s="2" t="str" cm="1">
        <f t="array" ref="B46">_xlfn.IFS(C46 = "UEFA","Europa",C46= "CONMEBOL","América do Sul",C46= "CAF", "África",C46="AFC", "Ásia",C46="OFC", "Oceania",C46="CONCACAF","América Central e Norte")</f>
        <v>América Central e Norte</v>
      </c>
      <c r="C46" t="s">
        <v>944</v>
      </c>
      <c r="D46" t="s">
        <v>80</v>
      </c>
      <c r="E46" t="s">
        <v>63</v>
      </c>
      <c r="F46" t="s">
        <v>73</v>
      </c>
      <c r="G46" t="s">
        <v>58</v>
      </c>
      <c r="H46" t="s">
        <v>126</v>
      </c>
      <c r="I46" t="s">
        <v>59</v>
      </c>
      <c r="J46" t="s">
        <v>160</v>
      </c>
      <c r="K46" t="s">
        <v>887</v>
      </c>
      <c r="L46" t="s">
        <v>888</v>
      </c>
      <c r="M46" t="s">
        <v>86</v>
      </c>
      <c r="N46" t="s">
        <v>86</v>
      </c>
      <c r="O46" t="s">
        <v>58</v>
      </c>
      <c r="P46" t="s">
        <v>86</v>
      </c>
      <c r="Q46" t="s">
        <v>126</v>
      </c>
      <c r="R46" t="s">
        <v>241</v>
      </c>
      <c r="S46" t="s">
        <v>308</v>
      </c>
      <c r="T46" t="s">
        <v>67</v>
      </c>
      <c r="U46" t="s">
        <v>324</v>
      </c>
      <c r="V46" t="s">
        <v>298</v>
      </c>
      <c r="W46" t="s">
        <v>117</v>
      </c>
      <c r="X46" t="s">
        <v>800</v>
      </c>
      <c r="Y46" t="s">
        <v>58</v>
      </c>
      <c r="Z46" t="s">
        <v>58</v>
      </c>
      <c r="AA46" t="s">
        <v>889</v>
      </c>
      <c r="AB46" t="s">
        <v>890</v>
      </c>
      <c r="AC46" t="s">
        <v>891</v>
      </c>
      <c r="AD46" t="s">
        <v>892</v>
      </c>
      <c r="AE46" t="s">
        <v>893</v>
      </c>
      <c r="AF46" t="s">
        <v>894</v>
      </c>
      <c r="AG46" t="s">
        <v>58</v>
      </c>
      <c r="AH46" t="s">
        <v>119</v>
      </c>
      <c r="AI46" t="s">
        <v>256</v>
      </c>
      <c r="AJ46" t="s">
        <v>265</v>
      </c>
      <c r="AK46" t="s">
        <v>153</v>
      </c>
      <c r="AL46" t="s">
        <v>64</v>
      </c>
      <c r="AM46" t="s">
        <v>895</v>
      </c>
      <c r="AN46" t="s">
        <v>86</v>
      </c>
      <c r="AO46" t="s">
        <v>58</v>
      </c>
      <c r="AP46" t="s">
        <v>86</v>
      </c>
      <c r="AQ46" t="s">
        <v>86</v>
      </c>
      <c r="AR46" t="s">
        <v>58</v>
      </c>
      <c r="AS46" t="s">
        <v>63</v>
      </c>
      <c r="AT46" t="s">
        <v>896</v>
      </c>
      <c r="AU46" t="s">
        <v>897</v>
      </c>
      <c r="AV46" t="s">
        <v>898</v>
      </c>
      <c r="AW46" t="s">
        <v>899</v>
      </c>
      <c r="AX46" t="s">
        <v>462</v>
      </c>
      <c r="AY46" t="s">
        <v>67</v>
      </c>
      <c r="AZ46" t="s">
        <v>80</v>
      </c>
      <c r="BA46" t="s">
        <v>241</v>
      </c>
      <c r="BB46" t="s">
        <v>63</v>
      </c>
    </row>
    <row r="47" spans="1:54" x14ac:dyDescent="0.25">
      <c r="A47" t="s">
        <v>812</v>
      </c>
      <c r="B47" s="2" t="str" cm="1">
        <f t="array" ref="B47">_xlfn.IFS(C47 = "UEFA","Europa",C47= "CONMEBOL","América do Sul",C47= "CAF", "África",C47="AFC", "Ásia",C47="OFC", "Oceania",C47="CONCACAF","América Central e Norte")</f>
        <v>América Central e Norte</v>
      </c>
      <c r="C47" t="s">
        <v>944</v>
      </c>
      <c r="D47" t="s">
        <v>80</v>
      </c>
      <c r="E47" t="s">
        <v>63</v>
      </c>
      <c r="F47" t="s">
        <v>80</v>
      </c>
      <c r="G47" t="s">
        <v>86</v>
      </c>
      <c r="H47" t="s">
        <v>126</v>
      </c>
      <c r="I47" t="s">
        <v>58</v>
      </c>
      <c r="J47" t="s">
        <v>130</v>
      </c>
      <c r="K47" t="s">
        <v>900</v>
      </c>
      <c r="L47" t="s">
        <v>351</v>
      </c>
      <c r="M47" t="s">
        <v>58</v>
      </c>
      <c r="N47" t="s">
        <v>86</v>
      </c>
      <c r="O47" t="s">
        <v>58</v>
      </c>
      <c r="P47" t="s">
        <v>324</v>
      </c>
      <c r="Q47" t="s">
        <v>80</v>
      </c>
      <c r="R47" t="s">
        <v>146</v>
      </c>
      <c r="S47" t="s">
        <v>64</v>
      </c>
      <c r="T47" t="s">
        <v>80</v>
      </c>
      <c r="U47" t="s">
        <v>93</v>
      </c>
      <c r="V47" t="s">
        <v>117</v>
      </c>
      <c r="W47" t="s">
        <v>324</v>
      </c>
      <c r="X47" t="s">
        <v>241</v>
      </c>
      <c r="Y47" t="s">
        <v>86</v>
      </c>
      <c r="Z47" t="s">
        <v>63</v>
      </c>
      <c r="AA47" t="s">
        <v>901</v>
      </c>
      <c r="AB47" t="s">
        <v>902</v>
      </c>
      <c r="AC47" t="s">
        <v>903</v>
      </c>
      <c r="AD47" t="s">
        <v>904</v>
      </c>
      <c r="AE47" t="s">
        <v>905</v>
      </c>
      <c r="AF47" t="s">
        <v>906</v>
      </c>
      <c r="AG47" t="s">
        <v>86</v>
      </c>
      <c r="AH47" t="s">
        <v>86</v>
      </c>
      <c r="AI47" t="s">
        <v>674</v>
      </c>
      <c r="AJ47" t="s">
        <v>155</v>
      </c>
      <c r="AK47" t="s">
        <v>282</v>
      </c>
      <c r="AL47" t="s">
        <v>119</v>
      </c>
      <c r="AM47" t="s">
        <v>907</v>
      </c>
      <c r="AN47" t="s">
        <v>86</v>
      </c>
      <c r="AO47" t="s">
        <v>58</v>
      </c>
      <c r="AP47" t="s">
        <v>58</v>
      </c>
      <c r="AQ47" t="s">
        <v>58</v>
      </c>
      <c r="AR47" t="s">
        <v>58</v>
      </c>
      <c r="AS47" t="s">
        <v>58</v>
      </c>
      <c r="AT47" t="s">
        <v>908</v>
      </c>
      <c r="AU47" t="s">
        <v>909</v>
      </c>
      <c r="AV47" t="s">
        <v>910</v>
      </c>
      <c r="AW47" t="s">
        <v>911</v>
      </c>
      <c r="AX47" t="s">
        <v>54</v>
      </c>
      <c r="AY47" t="s">
        <v>55</v>
      </c>
      <c r="AZ47" t="s">
        <v>119</v>
      </c>
      <c r="BA47" t="s">
        <v>66</v>
      </c>
      <c r="BB47" t="s">
        <v>80</v>
      </c>
    </row>
    <row r="48" spans="1:54" x14ac:dyDescent="0.25">
      <c r="A48" t="s">
        <v>813</v>
      </c>
      <c r="B48" s="2" t="str" cm="1">
        <f t="array" ref="B48">_xlfn.IFS(C48 = "UEFA","Europa",C48= "CONMEBOL","América do Sul",C48= "CAF", "África",C48="AFC", "Ásia",C48="OFC", "Oceania",C48="CONCACAF","América Central e Norte")</f>
        <v>América Central e Norte</v>
      </c>
      <c r="C48" t="s">
        <v>944</v>
      </c>
      <c r="D48" t="s">
        <v>73</v>
      </c>
      <c r="E48" t="s">
        <v>56</v>
      </c>
      <c r="F48" t="s">
        <v>73</v>
      </c>
      <c r="G48" t="s">
        <v>97</v>
      </c>
      <c r="H48" t="s">
        <v>95</v>
      </c>
      <c r="I48" t="s">
        <v>710</v>
      </c>
      <c r="J48" t="s">
        <v>538</v>
      </c>
      <c r="K48" t="s">
        <v>912</v>
      </c>
      <c r="L48" t="s">
        <v>578</v>
      </c>
      <c r="M48" t="s">
        <v>63</v>
      </c>
      <c r="N48" t="s">
        <v>157</v>
      </c>
      <c r="O48" t="s">
        <v>86</v>
      </c>
      <c r="P48" t="s">
        <v>73</v>
      </c>
      <c r="Q48" t="s">
        <v>63</v>
      </c>
      <c r="R48" t="s">
        <v>174</v>
      </c>
      <c r="S48" t="s">
        <v>190</v>
      </c>
      <c r="T48" t="s">
        <v>108</v>
      </c>
      <c r="U48" t="s">
        <v>191</v>
      </c>
      <c r="V48" t="s">
        <v>190</v>
      </c>
      <c r="W48" t="s">
        <v>62</v>
      </c>
      <c r="X48" t="s">
        <v>105</v>
      </c>
      <c r="Y48" t="s">
        <v>58</v>
      </c>
      <c r="Z48" t="s">
        <v>73</v>
      </c>
      <c r="AA48" t="s">
        <v>913</v>
      </c>
      <c r="AB48" t="s">
        <v>914</v>
      </c>
      <c r="AC48" t="s">
        <v>915</v>
      </c>
      <c r="AD48" t="s">
        <v>916</v>
      </c>
      <c r="AE48" t="s">
        <v>917</v>
      </c>
      <c r="AF48" t="s">
        <v>918</v>
      </c>
      <c r="AG48" t="s">
        <v>86</v>
      </c>
      <c r="AH48" t="s">
        <v>86</v>
      </c>
      <c r="AI48" t="s">
        <v>797</v>
      </c>
      <c r="AJ48" t="s">
        <v>191</v>
      </c>
      <c r="AK48" t="s">
        <v>241</v>
      </c>
      <c r="AL48" t="s">
        <v>136</v>
      </c>
      <c r="AM48" t="s">
        <v>569</v>
      </c>
      <c r="AN48" t="s">
        <v>80</v>
      </c>
      <c r="AO48" t="s">
        <v>58</v>
      </c>
      <c r="AP48" t="s">
        <v>86</v>
      </c>
      <c r="AQ48" t="s">
        <v>86</v>
      </c>
      <c r="AR48" t="s">
        <v>86</v>
      </c>
      <c r="AS48" t="s">
        <v>63</v>
      </c>
      <c r="AT48" t="s">
        <v>919</v>
      </c>
      <c r="AU48" t="s">
        <v>920</v>
      </c>
      <c r="AV48" t="s">
        <v>921</v>
      </c>
      <c r="AW48" t="s">
        <v>922</v>
      </c>
      <c r="AX48" t="s">
        <v>174</v>
      </c>
      <c r="AY48" t="s">
        <v>432</v>
      </c>
      <c r="AZ48" t="s">
        <v>86</v>
      </c>
      <c r="BA48" t="s">
        <v>53</v>
      </c>
      <c r="BB48" t="s">
        <v>119</v>
      </c>
    </row>
    <row r="49" spans="1:54" x14ac:dyDescent="0.25">
      <c r="A49" t="s">
        <v>938</v>
      </c>
      <c r="B49" s="2" t="str" cm="1">
        <f t="array" ref="B49">_xlfn.IFS(C49 = "UEFA","Europa",C49= "CONMEBOL","América do Sul",C49= "CAF", "África",C49="AFC", "Ásia",C49="OFC", "Oceania",C49="CONCACAF","América Central e Norte")</f>
        <v>Ásia</v>
      </c>
      <c r="C49" t="s">
        <v>943</v>
      </c>
      <c r="D49" t="s">
        <v>97</v>
      </c>
      <c r="E49" t="s">
        <v>56</v>
      </c>
      <c r="F49" t="s">
        <v>53</v>
      </c>
      <c r="G49" t="s">
        <v>73</v>
      </c>
      <c r="H49" t="s">
        <v>227</v>
      </c>
      <c r="I49" t="s">
        <v>710</v>
      </c>
      <c r="J49" t="s">
        <v>185</v>
      </c>
      <c r="K49" t="s">
        <v>923</v>
      </c>
      <c r="L49" t="s">
        <v>924</v>
      </c>
      <c r="M49" t="s">
        <v>73</v>
      </c>
      <c r="N49" t="s">
        <v>73</v>
      </c>
      <c r="O49" t="s">
        <v>63</v>
      </c>
      <c r="P49" t="s">
        <v>80</v>
      </c>
      <c r="Q49" t="s">
        <v>227</v>
      </c>
      <c r="R49" t="s">
        <v>519</v>
      </c>
      <c r="S49" t="s">
        <v>97</v>
      </c>
      <c r="T49" t="s">
        <v>190</v>
      </c>
      <c r="U49" t="s">
        <v>308</v>
      </c>
      <c r="V49" t="s">
        <v>183</v>
      </c>
      <c r="W49" t="s">
        <v>925</v>
      </c>
      <c r="X49" t="s">
        <v>506</v>
      </c>
      <c r="Y49" t="s">
        <v>63</v>
      </c>
      <c r="Z49" t="s">
        <v>63</v>
      </c>
      <c r="AA49" t="s">
        <v>926</v>
      </c>
      <c r="AB49" t="s">
        <v>927</v>
      </c>
      <c r="AC49" t="s">
        <v>928</v>
      </c>
      <c r="AD49" t="s">
        <v>929</v>
      </c>
      <c r="AE49" t="s">
        <v>930</v>
      </c>
      <c r="AF49" t="s">
        <v>931</v>
      </c>
      <c r="AG49" t="s">
        <v>58</v>
      </c>
      <c r="AH49" t="s">
        <v>93</v>
      </c>
      <c r="AI49" t="s">
        <v>153</v>
      </c>
      <c r="AJ49" t="s">
        <v>183</v>
      </c>
      <c r="AK49" t="s">
        <v>325</v>
      </c>
      <c r="AL49" t="s">
        <v>64</v>
      </c>
      <c r="AM49" t="s">
        <v>932</v>
      </c>
      <c r="AN49" t="s">
        <v>80</v>
      </c>
      <c r="AO49" t="s">
        <v>86</v>
      </c>
      <c r="AP49" t="s">
        <v>86</v>
      </c>
      <c r="AQ49" t="s">
        <v>86</v>
      </c>
      <c r="AR49" t="s">
        <v>86</v>
      </c>
      <c r="AS49" t="s">
        <v>58</v>
      </c>
      <c r="AT49" t="s">
        <v>933</v>
      </c>
      <c r="AU49" t="s">
        <v>934</v>
      </c>
      <c r="AV49" t="s">
        <v>935</v>
      </c>
      <c r="AW49" t="s">
        <v>936</v>
      </c>
      <c r="AX49" t="s">
        <v>937</v>
      </c>
      <c r="AY49" t="s">
        <v>190</v>
      </c>
      <c r="AZ49" t="s">
        <v>135</v>
      </c>
      <c r="BA49" t="s">
        <v>109</v>
      </c>
      <c r="BB49" t="s">
        <v>99</v>
      </c>
    </row>
  </sheetData>
  <autoFilter ref="A1:BB57" xr:uid="{00000000-0001-0000-0000-000000000000}"/>
  <pageMargins left="0.75" right="0.75" top="1" bottom="1" header="0.5" footer="0.5"/>
  <ignoredErrors>
    <ignoredError sqref="AN3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RAPHAEL CAMARGO EUGENIO DA SILVA</cp:lastModifiedBy>
  <dcterms:created xsi:type="dcterms:W3CDTF">2026-05-02T13:59:10Z</dcterms:created>
  <dcterms:modified xsi:type="dcterms:W3CDTF">2026-05-06T12:48:19Z</dcterms:modified>
</cp:coreProperties>
</file>